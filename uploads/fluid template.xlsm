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ul\Desktop\Untitled Folder\"/>
    </mc:Choice>
  </mc:AlternateContent>
  <xr:revisionPtr revIDLastSave="0" documentId="13_ncr:1_{776A81BC-0D43-4EB1-963E-5B2249C3164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ignatures that need to be read" sheetId="35" r:id="rId1"/>
    <sheet name="price and cost sheet" sheetId="14" r:id="rId2"/>
    <sheet name="体系折扣表" sheetId="16" state="hidden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pg1" localSheetId="0">#REF!</definedName>
    <definedName name="__pg1">#REF!</definedName>
    <definedName name="__pg2" localSheetId="0">#REF!</definedName>
    <definedName name="__pg2">#REF!</definedName>
    <definedName name="__pg3" localSheetId="0">#REF!</definedName>
    <definedName name="__pg3">#REF!</definedName>
    <definedName name="__pg4" localSheetId="0">#REF!</definedName>
    <definedName name="__pg4">#REF!</definedName>
    <definedName name="__PG5" localSheetId="0">#REF!</definedName>
    <definedName name="__PG5">#REF!</definedName>
    <definedName name="_xlnm._FilterDatabase" localSheetId="1" hidden="1">'price and cost sheet'!$A$1:$G$142</definedName>
    <definedName name="_pg1" localSheetId="0">#REF!</definedName>
    <definedName name="_pg1">#REF!</definedName>
    <definedName name="_pg2" localSheetId="0">#REF!</definedName>
    <definedName name="_pg2">#REF!</definedName>
    <definedName name="_pg3" localSheetId="0">#REF!</definedName>
    <definedName name="_pg3">#REF!</definedName>
    <definedName name="_pg4" localSheetId="0">#REF!</definedName>
    <definedName name="_pg4">#REF!</definedName>
    <definedName name="_PG5" localSheetId="0">#REF!</definedName>
    <definedName name="_PG5">#REF!</definedName>
    <definedName name="bha" localSheetId="0">#REF!</definedName>
    <definedName name="bha">#REF!</definedName>
    <definedName name="_xlnm.Criteria" localSheetId="0">#REF!</definedName>
    <definedName name="_xlnm.Criteria">#REF!</definedName>
    <definedName name="CSG_ID" localSheetId="0">[1]钻井日报表!$G$5</definedName>
    <definedName name="CSG_ID">[2]钻井日报表!$G$5</definedName>
    <definedName name="CSG_OD" localSheetId="0">[1]钻井日报表!$G$4</definedName>
    <definedName name="CSG_OD">[2]钻井日报表!$G$4</definedName>
    <definedName name="CSG_WT" localSheetId="0">[1]钻井日报表!$G$6</definedName>
    <definedName name="CSG_WT">[2]钻井日报表!$G$6</definedName>
    <definedName name="Data_Formyy\_h_mmPM_Red_\" localSheetId="0">#REF!</definedName>
    <definedName name="Data_Formyy\_h_mmPM_Red_\">#REF!</definedName>
    <definedName name="dd" localSheetId="0">[3]试压!#REF!</definedName>
    <definedName name="dd">[4]试压!#REF!</definedName>
    <definedName name="dddd" localSheetId="0">[5]试油成果记录!#REF!</definedName>
    <definedName name="dddd">[6]试油成果记录!#REF!</definedName>
    <definedName name="Elevation" localSheetId="0">[1]钻井日报表!$I$7</definedName>
    <definedName name="Elevation">[2]钻井日报表!$I$7</definedName>
    <definedName name="HKWT" localSheetId="0">[1]钻井日报表!$E$7</definedName>
    <definedName name="HKWT">[2]钻井日报表!$E$7</definedName>
    <definedName name="Inc" localSheetId="0">[1]钻井日报表!$G$8</definedName>
    <definedName name="Inc">[2]钻井日报表!$G$8</definedName>
    <definedName name="KOP" localSheetId="0">[1]钻井日报表!$G$7</definedName>
    <definedName name="KOP">[2]钻井日报表!$G$7</definedName>
    <definedName name="MW" localSheetId="0">[1]钻井日报表!$E$8</definedName>
    <definedName name="MW">[2]钻井日报表!$E$8</definedName>
    <definedName name="nb" localSheetId="0">'[7]井口装置示意图-4'!$E$1:$E$65536</definedName>
    <definedName name="nb">'[8]井口装置示意图-4'!$E$1:$E$65536</definedName>
    <definedName name="page1" localSheetId="0">[9]APD!$C$1:$P$27</definedName>
    <definedName name="page1">[10]APD!$C$1:$P$27</definedName>
    <definedName name="page13" localSheetId="0">[11]APD!$C$1:$P$27</definedName>
    <definedName name="page13">[12]APD!$C$1:$P$27</definedName>
    <definedName name="page2" localSheetId="0">[9]APD!$AC$1:$AO$27</definedName>
    <definedName name="page2">[10]APD!$AC$1:$AO$27</definedName>
    <definedName name="_xlnm.Print_Area" localSheetId="0">'Signatures that need to be read'!$A$1:$J$51</definedName>
    <definedName name="_xlnm.Print_Area">#REF!</definedName>
    <definedName name="Print_Area___.___mPM_Red_\" localSheetId="0">#REF!</definedName>
    <definedName name="Print_Area___.___mPM_Red_\">#REF!</definedName>
    <definedName name="Print_Area_______mPM_Red_\" localSheetId="0">#REF!</definedName>
    <definedName name="Print_Area_______mPM_Red_\">#REF!</definedName>
    <definedName name="Proj1">#N/A</definedName>
    <definedName name="Recorder_______mPM" localSheetId="0" hidden="1">#REF!</definedName>
    <definedName name="Recorder_______mPM" hidden="1">#REF!</definedName>
    <definedName name="sd" localSheetId="0">[13]试压!#REF!</definedName>
    <definedName name="sd">[14]试压!#REF!</definedName>
    <definedName name="SHO" localSheetId="0">[1]钻井日报表!$G$3</definedName>
    <definedName name="SHO">[2]钻井日报表!$G$3</definedName>
    <definedName name="Shoe" localSheetId="0">[1]钻井日报表!$G$3</definedName>
    <definedName name="Shoe">[2]钻井日报表!$G$3</definedName>
    <definedName name="TEST.XLS" localSheetId="0">#REF!</definedName>
    <definedName name="TEST.XLS">#REF!</definedName>
    <definedName name="TITLE" localSheetId="0">'[15]DRLG SUM'!$A$1:$J$6</definedName>
    <definedName name="TITLE">'[16]DRLG SUM'!$A$1:$J$6</definedName>
    <definedName name="x">#N/A</definedName>
    <definedName name="y">#N/A</definedName>
    <definedName name="二开井口用" localSheetId="0">#REF!</definedName>
    <definedName name="二开井口用">#REF!</definedName>
    <definedName name="啊啊" localSheetId="0">#REF!</definedName>
    <definedName name="啊啊">#REF!</definedName>
    <definedName name="歼击机" localSheetId="0">[1]钻井日报表!$E$7</definedName>
    <definedName name="歼击机">[2]钻井日报表!$E$7</definedName>
    <definedName name="起始日期" localSheetId="0">[17]钻井日报表!$B$1</definedName>
    <definedName name="起始日期">[18]钻井日报表!$B$1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35" l="1"/>
  <c r="J51" i="35"/>
  <c r="I51" i="35"/>
  <c r="D51" i="35"/>
  <c r="J50" i="35"/>
  <c r="I50" i="35"/>
  <c r="D50" i="35"/>
  <c r="J49" i="35"/>
  <c r="I49" i="35"/>
  <c r="J48" i="35"/>
  <c r="I48" i="35"/>
  <c r="J47" i="35"/>
  <c r="I47" i="35"/>
  <c r="J46" i="35"/>
  <c r="I46" i="35"/>
  <c r="J45" i="35"/>
  <c r="I45" i="35"/>
  <c r="M38" i="35"/>
  <c r="L38" i="35"/>
  <c r="D38" i="35"/>
  <c r="M37" i="35"/>
  <c r="L37" i="35"/>
  <c r="D37" i="35"/>
  <c r="M36" i="35"/>
  <c r="L36" i="35"/>
  <c r="D36" i="35"/>
  <c r="M35" i="35"/>
  <c r="L35" i="35"/>
  <c r="D35" i="35"/>
  <c r="M34" i="35"/>
  <c r="L34" i="35"/>
  <c r="D34" i="35"/>
  <c r="M33" i="35"/>
  <c r="L33" i="35"/>
  <c r="I33" i="35"/>
  <c r="D33" i="35"/>
  <c r="M32" i="35"/>
  <c r="L32" i="35"/>
  <c r="D32" i="35"/>
  <c r="M31" i="35"/>
  <c r="L31" i="35"/>
  <c r="D31" i="35"/>
  <c r="M30" i="35"/>
  <c r="L30" i="35"/>
  <c r="D30" i="35"/>
  <c r="M29" i="35"/>
  <c r="L29" i="35"/>
  <c r="D29" i="35"/>
  <c r="M28" i="35"/>
  <c r="L28" i="35"/>
  <c r="M27" i="35"/>
  <c r="L27" i="35"/>
  <c r="D27" i="35"/>
  <c r="M26" i="35"/>
  <c r="L26" i="35"/>
  <c r="D26" i="35"/>
  <c r="M25" i="35"/>
  <c r="L25" i="35"/>
  <c r="D25" i="35"/>
  <c r="M24" i="35"/>
  <c r="L24" i="35"/>
  <c r="D24" i="35"/>
  <c r="M23" i="35"/>
  <c r="L23" i="35"/>
  <c r="D23" i="35"/>
  <c r="M22" i="35"/>
  <c r="L22" i="35"/>
  <c r="M21" i="35"/>
  <c r="L21" i="35"/>
  <c r="M20" i="35"/>
  <c r="L20" i="35"/>
  <c r="M19" i="35"/>
  <c r="L19" i="35"/>
  <c r="M18" i="35"/>
  <c r="L18" i="35"/>
  <c r="M17" i="35"/>
  <c r="L17" i="35"/>
  <c r="J15" i="35"/>
  <c r="I15" i="35"/>
  <c r="J14" i="35"/>
  <c r="I14" i="35"/>
  <c r="I13" i="35"/>
  <c r="J12" i="35"/>
  <c r="I12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xulei9</author>
    <author>yanzl</author>
    <author>孙米恒蔚/塘沽作业公司/油田化学事业部/中海油服</author>
    <author>sunmhw</author>
  </authors>
  <commentList>
    <comment ref="T4" authorId="0" shapeId="0" xr:uid="{00000000-0006-0000-0000-000001000000}">
      <text>
        <r>
          <rPr>
            <sz val="16"/>
            <rFont val="宋体"/>
            <charset val="134"/>
          </rPr>
          <t>开始倒划的井深m/倒划开始距揭开裸眼时间h</t>
        </r>
      </text>
    </comment>
    <comment ref="Z4" authorId="1" shapeId="0" xr:uid="{00000000-0006-0000-0000-000002000000}">
      <text>
        <r>
          <rPr>
            <sz val="14"/>
            <rFont val="宋体"/>
            <charset val="134"/>
          </rPr>
          <t>上一井段固井作业结束开始到本井段固井结束的时间。</t>
        </r>
      </text>
    </comment>
    <comment ref="R7" authorId="0" shapeId="0" xr:uid="{00000000-0006-0000-0000-000003000000}">
      <text>
        <r>
          <rPr>
            <sz val="14"/>
            <rFont val="宋体"/>
            <charset val="134"/>
          </rPr>
          <t xml:space="preserve">每趟钻钻具名称：马达或贝克/SLB/油服旋转导向;钻速可通过中法《钻井参数》BitRun 与各趟倒划短起次数保持一致
例：
1、马达/平均机械钻速：60m/h;
2、马达/平均机械钻速：50m/h;
3、贝克旋转导向/平均机械钻速：40m/h
4、贝克旋转导向/平均机械钻速：25m/h
</t>
        </r>
      </text>
    </comment>
    <comment ref="Z7" authorId="1" shapeId="0" xr:uid="{00000000-0006-0000-0000-000004000000}">
      <text>
        <r>
          <rPr>
            <sz val="14"/>
            <rFont val="宋体"/>
            <charset val="134"/>
          </rPr>
          <t xml:space="preserve">填写每次井漏的最大静止漏速；
例：发生两次井漏，则
1、最大静止漏速40方/小时；
2、最大静止漏速20方/小时；
</t>
        </r>
      </text>
    </comment>
    <comment ref="G32" authorId="2" shapeId="0" xr:uid="{00000000-0006-0000-0000-000005000000}">
      <text>
        <r>
          <rPr>
            <b/>
            <sz val="9"/>
            <rFont val="宋体"/>
            <charset val="134"/>
          </rPr>
          <t>孙米恒蔚/塘沽作业公司/油田化学事业部/中海油服:</t>
        </r>
        <r>
          <rPr>
            <sz val="9"/>
            <rFont val="宋体"/>
            <charset val="134"/>
          </rPr>
          <t xml:space="preserve">
</t>
        </r>
        <r>
          <rPr>
            <sz val="20"/>
            <rFont val="宋体"/>
            <charset val="134"/>
          </rPr>
          <t>化验，材料动复员每口井只收一次，切勿重复签</t>
        </r>
      </text>
    </comment>
    <comment ref="C39" authorId="2" shapeId="0" xr:uid="{00000000-0006-0000-0000-000006000000}">
      <text>
        <r>
          <rPr>
            <b/>
            <sz val="9"/>
            <rFont val="宋体"/>
            <charset val="134"/>
          </rPr>
          <t>孙米恒蔚/塘沽作业公司/油田化学事业部/中海油服:</t>
        </r>
        <r>
          <rPr>
            <sz val="9"/>
            <rFont val="宋体"/>
            <charset val="134"/>
          </rPr>
          <t xml:space="preserve">
</t>
        </r>
        <r>
          <rPr>
            <sz val="18"/>
            <rFont val="宋体"/>
            <charset val="134"/>
          </rPr>
          <t>体系名称不够可以在下方表格空白区补充，</t>
        </r>
      </text>
    </comment>
    <comment ref="G39" authorId="3" shapeId="0" xr:uid="{00000000-0006-0000-0000-000007000000}">
      <text>
        <r>
          <rPr>
            <b/>
            <sz val="9"/>
            <rFont val="宋体"/>
            <charset val="134"/>
          </rPr>
          <t>sunmhw:</t>
        </r>
        <r>
          <rPr>
            <sz val="9"/>
            <rFont val="宋体"/>
            <charset val="134"/>
          </rPr>
          <t xml:space="preserve">
</t>
        </r>
        <r>
          <rPr>
            <sz val="18"/>
            <rFont val="宋体"/>
            <charset val="134"/>
          </rPr>
          <t>填写运输至平台盐水的方数。</t>
        </r>
      </text>
    </comment>
    <comment ref="F44" authorId="3" shapeId="0" xr:uid="{00000000-0006-0000-0000-000008000000}">
      <text>
        <r>
          <rPr>
            <b/>
            <sz val="9"/>
            <rFont val="宋体"/>
            <charset val="134"/>
          </rPr>
          <t>sunmhw:</t>
        </r>
        <r>
          <rPr>
            <sz val="9"/>
            <rFont val="宋体"/>
            <charset val="134"/>
          </rPr>
          <t xml:space="preserve">
</t>
        </r>
        <r>
          <rPr>
            <sz val="16"/>
            <rFont val="宋体"/>
            <charset val="134"/>
          </rPr>
          <t>每个工程师写一行，人员2是指如果平台人员超过2人后第3个开始按照人员2收费，这两个单价不同，只有人员1 和人员2 没有人员3。</t>
        </r>
      </text>
    </comment>
    <comment ref="B48" authorId="3" shapeId="0" xr:uid="{00000000-0006-0000-0000-000009000000}">
      <text>
        <r>
          <rPr>
            <sz val="18"/>
            <rFont val="宋体"/>
            <charset val="134"/>
          </rPr>
          <t xml:space="preserve">
仓储，等于运输量/100  四舍五入，取整数。例：320方/100=3.2取整为3
</t>
        </r>
      </text>
    </comment>
  </commentList>
</comments>
</file>

<file path=xl/sharedStrings.xml><?xml version="1.0" encoding="utf-8"?>
<sst xmlns="http://schemas.openxmlformats.org/spreadsheetml/2006/main" count="545" uniqueCount="366">
  <si>
    <t>油田化学事业部塘沽作业公司</t>
  </si>
  <si>
    <t>非打印区域都填写本收费井段作业内容</t>
  </si>
  <si>
    <t>client</t>
  </si>
  <si>
    <t>有限公司</t>
  </si>
  <si>
    <t>well class</t>
  </si>
  <si>
    <t>水平井</t>
  </si>
  <si>
    <t>钻  完  井  液  服  务  确  认  单</t>
  </si>
  <si>
    <t>well type</t>
  </si>
  <si>
    <t>开发井</t>
  </si>
  <si>
    <t>important type</t>
  </si>
  <si>
    <t>常规井</t>
  </si>
  <si>
    <t>risk</t>
  </si>
  <si>
    <t>三类</t>
  </si>
  <si>
    <t>tvd</t>
  </si>
  <si>
    <t>well</t>
  </si>
  <si>
    <t>BZ34-1-G9H</t>
  </si>
  <si>
    <t>basic</t>
  </si>
  <si>
    <t>area</t>
  </si>
  <si>
    <t>manager</t>
  </si>
  <si>
    <t>黎明</t>
  </si>
  <si>
    <t>deep</t>
  </si>
  <si>
    <t>序号</t>
  </si>
  <si>
    <t>材料名称</t>
  </si>
  <si>
    <t>数量</t>
  </si>
  <si>
    <t>单位</t>
  </si>
  <si>
    <t>设备名称</t>
  </si>
  <si>
    <t>使用时间</t>
  </si>
  <si>
    <t>天数</t>
  </si>
  <si>
    <r>
      <rPr>
        <sz val="14"/>
        <rFont val="宋体"/>
        <charset val="134"/>
      </rPr>
      <t>材料</t>
    </r>
    <r>
      <rPr>
        <sz val="10.5"/>
        <rFont val="Times New Roman"/>
        <charset val="134"/>
      </rPr>
      <t>18</t>
    </r>
  </si>
  <si>
    <t>吨</t>
  </si>
  <si>
    <t>布氏黏度仪</t>
  </si>
  <si>
    <r>
      <rPr>
        <sz val="14"/>
        <rFont val="宋体"/>
        <charset val="134"/>
      </rPr>
      <t>材料</t>
    </r>
    <r>
      <rPr>
        <sz val="10.5"/>
        <rFont val="Times New Roman"/>
        <charset val="134"/>
      </rPr>
      <t>19</t>
    </r>
  </si>
  <si>
    <r>
      <rPr>
        <sz val="14"/>
        <rFont val="宋体"/>
        <charset val="134"/>
      </rPr>
      <t>材料</t>
    </r>
    <r>
      <rPr>
        <sz val="10.5"/>
        <rFont val="Times New Roman"/>
        <charset val="134"/>
      </rPr>
      <t>20</t>
    </r>
  </si>
  <si>
    <r>
      <rPr>
        <sz val="14"/>
        <rFont val="宋体"/>
        <charset val="134"/>
      </rPr>
      <t>材料</t>
    </r>
    <r>
      <rPr>
        <sz val="10.5"/>
        <rFont val="Times New Roman"/>
        <charset val="134"/>
      </rPr>
      <t>21</t>
    </r>
  </si>
  <si>
    <t/>
  </si>
  <si>
    <t>化验</t>
  </si>
  <si>
    <t>生物毒性检验</t>
  </si>
  <si>
    <t>钻井液（陆地）</t>
  </si>
  <si>
    <t>m³</t>
  </si>
  <si>
    <t>HCOOK L（陆地）</t>
  </si>
  <si>
    <t>PF-W130（陆地）</t>
  </si>
  <si>
    <t>system</t>
  </si>
  <si>
    <t>体系1</t>
  </si>
  <si>
    <t>NaCl（陆地）</t>
  </si>
  <si>
    <t>动复员(龙口)</t>
  </si>
  <si>
    <t>运输</t>
  </si>
  <si>
    <t>人员1</t>
  </si>
  <si>
    <t>Description</t>
  </si>
  <si>
    <t>price</t>
  </si>
  <si>
    <t>unit</t>
  </si>
  <si>
    <t>cost</t>
  </si>
  <si>
    <t>依据合同款项</t>
  </si>
  <si>
    <t>P41 四 2-1-1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</si>
  <si>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</t>
    </r>
  </si>
  <si>
    <t>P41 四 2-1-2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</si>
  <si>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</t>
    </r>
  </si>
  <si>
    <t>P41 四 2-1-3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</si>
  <si>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</t>
    </r>
  </si>
  <si>
    <t>P41 四 2-1-4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</si>
  <si>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</t>
    </r>
  </si>
  <si>
    <t>P41 四 2-1-5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</si>
  <si>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</t>
    </r>
  </si>
  <si>
    <t>P41 四 2-1-6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</si>
  <si>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</t>
    </r>
  </si>
  <si>
    <t>P41 四 2-1-7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</si>
  <si>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</t>
    </r>
  </si>
  <si>
    <t>P41 四 2-1-8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</si>
  <si>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</t>
    </r>
  </si>
  <si>
    <t>P41 四 2-1-9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</si>
  <si>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</t>
    </r>
  </si>
  <si>
    <t>P41 四 2-1-10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</si>
  <si>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</t>
    </r>
  </si>
  <si>
    <t>P41 四 2-1-11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</si>
  <si>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12</t>
    </r>
  </si>
  <si>
    <t>P41 四 2-1-12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</si>
  <si>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13</t>
    </r>
  </si>
  <si>
    <t>P41 四 2-1-13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</si>
  <si>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14</t>
    </r>
  </si>
  <si>
    <t>P41 四 2-1-14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</si>
  <si>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15</t>
    </r>
  </si>
  <si>
    <t>P41 四 2-1-15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</si>
  <si>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16</t>
    </r>
  </si>
  <si>
    <t>P41 四 2-1-16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</si>
  <si>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17</t>
    </r>
  </si>
  <si>
    <t>P42 四 2-1-17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</si>
  <si>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18</t>
    </r>
  </si>
  <si>
    <t>P42 四 2-1-18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</si>
  <si>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19</t>
    </r>
  </si>
  <si>
    <t>P42 四 2-1-19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</si>
  <si>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20</t>
    </r>
  </si>
  <si>
    <t>P42 四 2-1-20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</si>
  <si>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21</t>
    </r>
  </si>
  <si>
    <t>P42 四 2-1-21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</si>
  <si>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22</t>
    </r>
  </si>
  <si>
    <t>P42 四 2-1-22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</si>
  <si>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23</t>
    </r>
  </si>
  <si>
    <t>P42 四 2-1-23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</si>
  <si>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24</t>
    </r>
  </si>
  <si>
    <t>P42 四 2-1-24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</si>
  <si>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25</t>
    </r>
  </si>
  <si>
    <t>P42 四 2-1-25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</si>
  <si>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26</t>
    </r>
  </si>
  <si>
    <t>P42 四 2-1-26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</si>
  <si>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27</t>
    </r>
  </si>
  <si>
    <t>P42 四 2-1-27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</si>
  <si>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28</t>
    </r>
  </si>
  <si>
    <t>P42 四 2-1-28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</si>
  <si>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29</t>
    </r>
  </si>
  <si>
    <t>P42 四 2-1-29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</si>
  <si>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30</t>
    </r>
  </si>
  <si>
    <t>P42 四 2-1-30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</si>
  <si>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31</t>
    </r>
  </si>
  <si>
    <t>P42 四 2-1-31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</si>
  <si>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32</t>
    </r>
  </si>
  <si>
    <t>P42 四 2-1-32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</si>
  <si>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33</t>
    </r>
  </si>
  <si>
    <t>P42 四 2-1-33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</si>
  <si>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34</t>
    </r>
  </si>
  <si>
    <t>P42 四 2-1-34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</si>
  <si>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35</t>
    </r>
  </si>
  <si>
    <t>P42 四 2-1-35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</si>
  <si>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36</t>
    </r>
  </si>
  <si>
    <t>P42 四 2-1-36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</si>
  <si>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37</t>
    </r>
  </si>
  <si>
    <t>P42 四 2-1-37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</si>
  <si>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38</t>
    </r>
  </si>
  <si>
    <t>P42 四 2-1-38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</si>
  <si>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39</t>
    </r>
  </si>
  <si>
    <t>P42 四 2-1-39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</si>
  <si>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40</t>
    </r>
  </si>
  <si>
    <t>P42 四 2-1-40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</si>
  <si>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41</t>
    </r>
  </si>
  <si>
    <t>P42 四 2-1-41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</si>
  <si>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42</t>
    </r>
  </si>
  <si>
    <t>P42 四 2-1-42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</si>
  <si>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43</t>
    </r>
  </si>
  <si>
    <t>P42 四 2-1-43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</si>
  <si>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44</t>
    </r>
  </si>
  <si>
    <t>P42 四 2-1-44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</si>
  <si>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45</t>
    </r>
  </si>
  <si>
    <t>P42 四 2-1-45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</si>
  <si>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46</t>
    </r>
  </si>
  <si>
    <t>P42 四 2-1-46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</si>
  <si>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47</t>
    </r>
  </si>
  <si>
    <t>P42 四 2-1-47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</si>
  <si>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48</t>
    </r>
  </si>
  <si>
    <t>P42 四 2-1-48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</si>
  <si>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49</t>
    </r>
  </si>
  <si>
    <t>P42 四 2-1-49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</si>
  <si>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50</t>
    </r>
  </si>
  <si>
    <t>P42 四 2-1-50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</si>
  <si>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51</t>
    </r>
  </si>
  <si>
    <t>P42 四 2-1-51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</si>
  <si>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52</t>
    </r>
  </si>
  <si>
    <t>P42 四 2-1-52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</si>
  <si>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53</t>
    </r>
  </si>
  <si>
    <t>P42 四 2-1-53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</si>
  <si>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54</t>
    </r>
  </si>
  <si>
    <t>P42 四 2-1-54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</si>
  <si>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55</t>
    </r>
  </si>
  <si>
    <t>P42 四 2-1-55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</si>
  <si>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56</t>
    </r>
  </si>
  <si>
    <t>P42 四 2-1-56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</si>
  <si>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57</t>
    </r>
  </si>
  <si>
    <t>P42 四 2-1-57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</si>
  <si>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58</t>
    </r>
  </si>
  <si>
    <t>P43 四 2-1-58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</si>
  <si>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59</t>
    </r>
  </si>
  <si>
    <t>P43 四 2-1-59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</si>
  <si>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60</t>
    </r>
  </si>
  <si>
    <t>P43 四 2-1-60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</si>
  <si>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61</t>
    </r>
  </si>
  <si>
    <t>P43 四 2-1-61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</si>
  <si>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62</t>
    </r>
  </si>
  <si>
    <t>P43 四 2-1-62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</si>
  <si>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63</t>
    </r>
  </si>
  <si>
    <t>P43 四 2-1-63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</si>
  <si>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64</t>
    </r>
  </si>
  <si>
    <t>P43 四 2-1-64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</si>
  <si>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65</t>
    </r>
  </si>
  <si>
    <t>P43 四 2-1-65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</si>
  <si>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66</t>
    </r>
  </si>
  <si>
    <t>P43 四 2-1-66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</si>
  <si>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67</t>
    </r>
  </si>
  <si>
    <t>P43 四 2-1-67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</si>
  <si>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68</t>
    </r>
  </si>
  <si>
    <t>P43 四 2-1-68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</si>
  <si>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69</t>
    </r>
  </si>
  <si>
    <t>P43 四 2-1-69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</si>
  <si>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70</t>
    </r>
  </si>
  <si>
    <t>P43 四 2-1-70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</si>
  <si>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71</t>
    </r>
  </si>
  <si>
    <t>P43 四 2-1-71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</si>
  <si>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72</t>
    </r>
  </si>
  <si>
    <t>P43 四 2-1-72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</si>
  <si>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73</t>
    </r>
  </si>
  <si>
    <t>P43 四 2-1-73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</si>
  <si>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74</t>
    </r>
  </si>
  <si>
    <t>P43 四 2-1-74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</si>
  <si>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75</t>
    </r>
  </si>
  <si>
    <t>P43 四 2-1-75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</si>
  <si>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76</t>
    </r>
  </si>
  <si>
    <t>P43 四 2-1-76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</si>
  <si>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77</t>
    </r>
  </si>
  <si>
    <t>P43 四 2-1-77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</si>
  <si>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78</t>
    </r>
  </si>
  <si>
    <t>P43 四 2-1-78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</si>
  <si>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79</t>
    </r>
  </si>
  <si>
    <t>P43 四 2-1-79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</si>
  <si>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80</t>
    </r>
  </si>
  <si>
    <t>P43 四 2-1-80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</si>
  <si>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81</t>
    </r>
  </si>
  <si>
    <t>P43 四 2-1-81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</si>
  <si>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82</t>
    </r>
  </si>
  <si>
    <t>P43 四 2-1-82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</si>
  <si>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83</t>
    </r>
  </si>
  <si>
    <t>P43 四 2-1-83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</si>
  <si>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84</t>
    </r>
  </si>
  <si>
    <t>P43 四 2-1-84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</si>
  <si>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85</t>
    </r>
  </si>
  <si>
    <t>P43 四 2-1-85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</si>
  <si>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86</t>
    </r>
  </si>
  <si>
    <t>P43 四 2-1-86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</si>
  <si>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87</t>
    </r>
  </si>
  <si>
    <t>P43 四 2-1-87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</si>
  <si>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88</t>
    </r>
  </si>
  <si>
    <t>P43 四 2-1-88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</si>
  <si>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89</t>
    </r>
  </si>
  <si>
    <t>P43 四 2-1-89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</si>
  <si>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90</t>
    </r>
  </si>
  <si>
    <t>P43 四 2-1-90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</si>
  <si>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91</t>
    </r>
  </si>
  <si>
    <t>P43 四 2-1-91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</si>
  <si>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92</t>
    </r>
  </si>
  <si>
    <t>P43 四 2-1-92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</si>
  <si>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93</t>
    </r>
  </si>
  <si>
    <t>P43 四 2-1-93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</si>
  <si>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94</t>
    </r>
  </si>
  <si>
    <t>P43 四 2-1-94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</si>
  <si>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95</t>
    </r>
  </si>
  <si>
    <t>P43 四 2-1-95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</si>
  <si>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96</t>
    </r>
  </si>
  <si>
    <t>P43 四 2-1-96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</si>
  <si>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97</t>
    </r>
  </si>
  <si>
    <t>P43 四 2-1-97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</si>
  <si>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98</t>
    </r>
  </si>
  <si>
    <t>P43 四 2-1-98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</si>
  <si>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99</t>
    </r>
  </si>
  <si>
    <t>P44 四 2-1-99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</si>
  <si>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100</t>
    </r>
  </si>
  <si>
    <t>P44 四 2-1-100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</si>
  <si>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101</t>
    </r>
  </si>
  <si>
    <t>P44 四 2-1-101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</si>
  <si>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102</t>
    </r>
  </si>
  <si>
    <t>P44 四 2-1-102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</si>
  <si>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103</t>
    </r>
  </si>
  <si>
    <t>P44 四 2-1-103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</si>
  <si>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104</t>
    </r>
  </si>
  <si>
    <t>P44 四 2-1-104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</si>
  <si>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105</t>
    </r>
  </si>
  <si>
    <t>P44 四 2-1-105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</si>
  <si>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106</t>
    </r>
  </si>
  <si>
    <t>P44 四 2-1-106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</si>
  <si>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107</t>
    </r>
  </si>
  <si>
    <t>P44 四 2-1-107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</si>
  <si>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108</t>
    </r>
  </si>
  <si>
    <t>P44 四 2-1-108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</si>
  <si>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109</t>
    </r>
  </si>
  <si>
    <t>P44 四 2-1-109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</si>
  <si>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110</t>
    </r>
  </si>
  <si>
    <t>P44 四 2-1-110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</si>
  <si>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111</t>
    </r>
  </si>
  <si>
    <t>P44 四 2-1-111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</si>
  <si>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112</t>
    </r>
  </si>
  <si>
    <t>P44 四 2-1-112</t>
  </si>
  <si>
    <t>PF-HG-106Ⅱ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</si>
  <si>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113</t>
    </r>
  </si>
  <si>
    <t>P44 四 2-1-113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</si>
  <si>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114</t>
    </r>
  </si>
  <si>
    <t>P44 四 2-1-114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</si>
  <si>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115</t>
    </r>
  </si>
  <si>
    <t>P44 四 2-1-115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</si>
  <si>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116</t>
    </r>
  </si>
  <si>
    <t>P44 四 2-1-116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</si>
  <si>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117</t>
    </r>
  </si>
  <si>
    <t>P44 四 2-1-117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</si>
  <si>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118</t>
    </r>
  </si>
  <si>
    <t>P44 四 2-1-118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</si>
  <si>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119</t>
    </r>
  </si>
  <si>
    <t>P44 四 2-1-119</t>
  </si>
  <si>
    <r>
      <rPr>
        <sz val="10.5"/>
        <color rgb="FF000000"/>
        <rFont val="宋体"/>
        <charset val="134"/>
      </rPr>
      <t>材料</t>
    </r>
    <r>
      <rPr>
        <sz val="10.5"/>
        <color rgb="FF000000"/>
        <rFont val="Times New Roman"/>
        <charset val="134"/>
      </rPr>
      <t>120</t>
    </r>
  </si>
  <si>
    <t>P44 四 2-1-120</t>
  </si>
  <si>
    <t>人·天</t>
  </si>
  <si>
    <t>P44 四 2-2-1</t>
  </si>
  <si>
    <t>人员2</t>
  </si>
  <si>
    <t>P44 四 2-2-2</t>
  </si>
  <si>
    <t>天</t>
  </si>
  <si>
    <t>P45 四 2-2-15</t>
  </si>
  <si>
    <t>井</t>
  </si>
  <si>
    <t>P44 四 2-2-8</t>
  </si>
  <si>
    <t>P45 四 2-2-19</t>
  </si>
  <si>
    <t>动复员(北港)</t>
  </si>
  <si>
    <t>P45 四 2-2-17</t>
  </si>
  <si>
    <t>动复员(东营）</t>
  </si>
  <si>
    <t>P45 四 2-2-18</t>
  </si>
  <si>
    <t>人员动复员(兴城)</t>
  </si>
  <si>
    <t>人/往返</t>
  </si>
  <si>
    <t>P45 四 2-2-3</t>
  </si>
  <si>
    <t>人员动复员(蓬莱汽车)</t>
  </si>
  <si>
    <t>P44 四 2-2-6</t>
  </si>
  <si>
    <t>人员动复员(蓬莱飞机）</t>
  </si>
  <si>
    <t>P44 四 2-2-5</t>
  </si>
  <si>
    <t>人员动复员(东营)</t>
  </si>
  <si>
    <t>P44 四 2-2-4</t>
  </si>
  <si>
    <t>人员动复员(北港)</t>
  </si>
  <si>
    <t>P44 四 2-2-3</t>
  </si>
  <si>
    <t>次</t>
  </si>
  <si>
    <t>P44 四 2-2-9</t>
  </si>
  <si>
    <t>配置</t>
  </si>
  <si>
    <t>m3</t>
  </si>
  <si>
    <t>P45 四 2-2-20</t>
  </si>
  <si>
    <t>P45 四 2-2-21</t>
  </si>
  <si>
    <t>装船</t>
  </si>
  <si>
    <t>P45 四 2-2-22</t>
  </si>
  <si>
    <t>仓储</t>
  </si>
  <si>
    <t>P45 四 2-2-23</t>
  </si>
  <si>
    <t>过滤</t>
  </si>
  <si>
    <t>P45 四 2-2-24</t>
  </si>
  <si>
    <t>水</t>
  </si>
  <si>
    <t>P45 四 2-2-25</t>
  </si>
  <si>
    <t>体系折扣表</t>
  </si>
  <si>
    <t>体系名称</t>
  </si>
  <si>
    <t>体系折扣</t>
  </si>
  <si>
    <t>体系2</t>
  </si>
  <si>
    <t>体系3</t>
  </si>
  <si>
    <t>体系4</t>
  </si>
  <si>
    <t>体系5</t>
  </si>
  <si>
    <t>体系6</t>
  </si>
  <si>
    <t>体系7</t>
  </si>
  <si>
    <t>体系8</t>
  </si>
  <si>
    <t>体系9</t>
  </si>
  <si>
    <t>体系10</t>
  </si>
  <si>
    <t>体系11</t>
  </si>
  <si>
    <t>体系12</t>
  </si>
  <si>
    <t>体系13</t>
  </si>
  <si>
    <t>体系14</t>
  </si>
  <si>
    <t>体系15</t>
  </si>
  <si>
    <t>体系16</t>
  </si>
  <si>
    <t>体系17</t>
  </si>
  <si>
    <t>体系18</t>
  </si>
  <si>
    <t>体系19</t>
  </si>
  <si>
    <t>体系20</t>
  </si>
  <si>
    <t>体系21</t>
  </si>
  <si>
    <r>
      <t>材料</t>
    </r>
    <r>
      <rPr>
        <sz val="10.5"/>
        <color rgb="FF000000"/>
        <rFont val="Times New Roman"/>
        <charset val="134"/>
      </rPr>
      <t>1</t>
    </r>
  </si>
  <si>
    <t>ton</t>
  </si>
  <si>
    <t>材料-material</t>
  </si>
  <si>
    <t>设备服务-equipment service</t>
  </si>
  <si>
    <t>人员服务-personnel services</t>
  </si>
  <si>
    <t>项目明细-project details</t>
  </si>
  <si>
    <t>数量-quantity</t>
  </si>
  <si>
    <t>其 他 项 目-other items</t>
  </si>
  <si>
    <t>天数-days</t>
  </si>
  <si>
    <t>开始时间-start time</t>
  </si>
  <si>
    <t>结束时间-end time</t>
  </si>
  <si>
    <t>项目名称-project name</t>
  </si>
  <si>
    <t>钻完井液配置服务(陆地)-onshore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</si>
</sst>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(\¥* #,##0.00_);_(\¥* \(#,##0.00\);_(\¥* &quot;-&quot;??_);_(@_)"/>
    <numFmt numFmtId="165" formatCode="0.0_);[Red]\(0.0\)"/>
    <numFmt numFmtId="166" formatCode="_-* #,##0.00_-;\-* #,##0.00_-;_-* &quot;-&quot;??_-;_-@_-"/>
    <numFmt numFmtId="167" formatCode="0.000&quot;  &quot;"/>
    <numFmt numFmtId="168" formatCode="_-* #,##0_-;\-* #,##0_-;_-* &quot;-&quot;_-;_-@_-"/>
    <numFmt numFmtId="169" formatCode="0.000_)"/>
    <numFmt numFmtId="170" formatCode="0.0&quot;  &quot;"/>
    <numFmt numFmtId="171" formatCode="_-&quot;$&quot;* #,##0.00_-;\-&quot;$&quot;* #,##0.00_-;_-&quot;$&quot;* &quot;-&quot;??_-;_-@_-"/>
    <numFmt numFmtId="172" formatCode="#,##0;[Red]\(#,##0\)"/>
    <numFmt numFmtId="173" formatCode="\1\0\/\1\7"/>
    <numFmt numFmtId="174" formatCode="_ \¥* #,##0.00_ ;_ \¥* \-#,##0.00_ ;_ \¥* &quot;-&quot;??_ ;_ @_ "/>
    <numFmt numFmtId="175" formatCode="0.00_)"/>
    <numFmt numFmtId="176" formatCode="0_)"/>
    <numFmt numFmtId="177" formatCode="#,##0.000"/>
    <numFmt numFmtId="178" formatCode="0.00_ "/>
  </numFmts>
  <fonts count="63">
    <font>
      <sz val="12"/>
      <name val="宋体"/>
      <charset val="134"/>
    </font>
    <font>
      <sz val="14"/>
      <name val="宋体"/>
      <charset val="134"/>
    </font>
    <font>
      <sz val="20"/>
      <name val="宋体"/>
      <charset val="134"/>
    </font>
    <font>
      <sz val="9"/>
      <color theme="1"/>
      <name val="宋体"/>
      <charset val="134"/>
    </font>
    <font>
      <sz val="10"/>
      <name val="宋体"/>
      <charset val="134"/>
    </font>
    <font>
      <sz val="10.5"/>
      <color rgb="FF000000"/>
      <name val="宋体"/>
      <charset val="134"/>
    </font>
    <font>
      <sz val="10.5"/>
      <color rgb="FF000000"/>
      <name val="Times New Roman"/>
      <charset val="134"/>
    </font>
    <font>
      <b/>
      <sz val="26"/>
      <color indexed="12"/>
      <name val="黑体"/>
      <charset val="134"/>
    </font>
    <font>
      <sz val="16"/>
      <name val="宋体"/>
      <charset val="134"/>
    </font>
    <font>
      <sz val="12"/>
      <name val="幼圆"/>
      <charset val="134"/>
    </font>
    <font>
      <sz val="14"/>
      <name val="幼圆"/>
      <charset val="134"/>
    </font>
    <font>
      <sz val="26"/>
      <name val="宋体"/>
      <charset val="134"/>
    </font>
    <font>
      <i/>
      <sz val="11"/>
      <name val="Arial"/>
      <charset val="134"/>
    </font>
    <font>
      <sz val="16"/>
      <name val="Times New Roman"/>
      <charset val="134"/>
    </font>
    <font>
      <b/>
      <sz val="26"/>
      <name val="黑体"/>
      <charset val="134"/>
    </font>
    <font>
      <sz val="12"/>
      <name val="Arial Narrow"/>
      <charset val="134"/>
    </font>
    <font>
      <b/>
      <sz val="18"/>
      <name val="宋体"/>
      <charset val="134"/>
    </font>
    <font>
      <b/>
      <sz val="16"/>
      <name val="宋体"/>
      <charset val="134"/>
    </font>
    <font>
      <sz val="14"/>
      <name val="Arial"/>
      <charset val="134"/>
    </font>
    <font>
      <sz val="12"/>
      <name val="Arial"/>
      <charset val="134"/>
    </font>
    <font>
      <b/>
      <sz val="14"/>
      <name val="宋体"/>
      <charset val="134"/>
    </font>
    <font>
      <b/>
      <sz val="12"/>
      <name val="宋体"/>
      <charset val="134"/>
    </font>
    <font>
      <sz val="12"/>
      <name val="Times New Roman"/>
    </font>
    <font>
      <sz val="12"/>
      <color rgb="FFFF0000"/>
      <name val="宋体"/>
      <charset val="134"/>
    </font>
    <font>
      <sz val="12"/>
      <color indexed="12"/>
      <name val="宋体"/>
      <charset val="134"/>
    </font>
    <font>
      <sz val="12"/>
      <color theme="1"/>
      <name val="Times New Roman"/>
    </font>
    <font>
      <sz val="12"/>
      <color theme="1"/>
      <name val="宋体"/>
      <charset val="134"/>
    </font>
    <font>
      <sz val="12"/>
      <color rgb="FF000000"/>
      <name val="Times New Roman"/>
    </font>
    <font>
      <sz val="12"/>
      <color indexed="8"/>
      <name val="Times New Roman"/>
    </font>
    <font>
      <sz val="12"/>
      <color rgb="FFFF0000"/>
      <name val="Times New Roman"/>
    </font>
    <font>
      <sz val="12"/>
      <name val="宋体"/>
    </font>
    <font>
      <sz val="8"/>
      <name val="微软雅黑"/>
      <charset val="134"/>
    </font>
    <font>
      <sz val="8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scheme val="minor"/>
    </font>
    <font>
      <sz val="12"/>
      <name val="Times New Roman"/>
      <charset val="134"/>
    </font>
    <font>
      <sz val="11"/>
      <name val="Tms Rmn"/>
      <charset val="134"/>
    </font>
    <font>
      <sz val="10"/>
      <name val="Arial"/>
      <charset val="134"/>
    </font>
    <font>
      <sz val="12"/>
      <color indexed="8"/>
      <name val="Arial"/>
      <charset val="134"/>
    </font>
    <font>
      <sz val="11"/>
      <color indexed="17"/>
      <name val="Tahoma"/>
      <charset val="134"/>
    </font>
    <font>
      <sz val="11"/>
      <color indexed="20"/>
      <name val="宋体"/>
      <charset val="134"/>
    </font>
    <font>
      <sz val="12"/>
      <color indexed="10"/>
      <name val="Arial"/>
      <charset val="134"/>
    </font>
    <font>
      <sz val="9"/>
      <name val="Geneva"/>
      <charset val="134"/>
    </font>
    <font>
      <sz val="8"/>
      <name val="Helvetica"/>
      <charset val="134"/>
    </font>
    <font>
      <sz val="10"/>
      <name val="Arial Cyr"/>
      <charset val="204"/>
    </font>
    <font>
      <sz val="8"/>
      <name val="Arial"/>
      <charset val="134"/>
    </font>
    <font>
      <sz val="7"/>
      <color indexed="9"/>
      <name val="Tms Rmn"/>
      <charset val="134"/>
    </font>
    <font>
      <sz val="10"/>
      <name val="MS Sans Serif"/>
      <charset val="134"/>
    </font>
    <font>
      <sz val="11"/>
      <color indexed="17"/>
      <name val="宋体"/>
      <charset val="134"/>
    </font>
    <font>
      <sz val="7"/>
      <name val="Small Fonts"/>
      <charset val="134"/>
    </font>
    <font>
      <b/>
      <i/>
      <sz val="16"/>
      <name val="Helv"/>
      <charset val="134"/>
    </font>
    <font>
      <b/>
      <sz val="10"/>
      <name val="Arial"/>
      <charset val="134"/>
    </font>
    <font>
      <sz val="7"/>
      <name val="Tms Rmn"/>
      <charset val="134"/>
    </font>
    <font>
      <sz val="10"/>
      <color indexed="8"/>
      <name val="Arial"/>
      <charset val="134"/>
    </font>
    <font>
      <sz val="11"/>
      <color indexed="20"/>
      <name val="Tahoma"/>
      <charset val="134"/>
    </font>
    <font>
      <sz val="10"/>
      <name val="Times New Roman Cyr"/>
      <charset val="204"/>
    </font>
    <font>
      <u/>
      <sz val="9"/>
      <color indexed="12"/>
      <name val="宋体"/>
      <charset val="134"/>
    </font>
    <font>
      <sz val="12"/>
      <color indexed="8"/>
      <name val="Times New Roman"/>
      <charset val="134"/>
    </font>
    <font>
      <sz val="10.5"/>
      <name val="Times New Roman"/>
      <charset val="134"/>
    </font>
    <font>
      <b/>
      <sz val="9"/>
      <name val="宋体"/>
      <charset val="134"/>
    </font>
    <font>
      <sz val="9"/>
      <name val="宋体"/>
      <charset val="134"/>
    </font>
    <font>
      <sz val="18"/>
      <name val="宋体"/>
      <charset val="134"/>
    </font>
    <font>
      <sz val="12"/>
      <name val="宋体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0625"/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52">
    <xf numFmtId="0" fontId="0" fillId="0" borderId="0">
      <alignment vertical="center"/>
    </xf>
    <xf numFmtId="0" fontId="62" fillId="0" borderId="0"/>
    <xf numFmtId="0" fontId="34" fillId="0" borderId="0" applyNumberFormat="0" applyFill="0" applyBorder="0" applyAlignment="0" applyProtection="0">
      <alignment vertical="center"/>
    </xf>
    <xf numFmtId="164" fontId="35" fillId="0" borderId="0" applyFont="0" applyFill="0" applyBorder="0" applyAlignment="0" applyProtection="0"/>
    <xf numFmtId="169" fontId="36" fillId="0" borderId="0">
      <alignment vertical="center"/>
    </xf>
    <xf numFmtId="0" fontId="38" fillId="0" borderId="0" applyNumberFormat="0" applyFont="0" applyBorder="0" applyAlignment="0"/>
    <xf numFmtId="0" fontId="62" fillId="0" borderId="0">
      <alignment vertical="center"/>
    </xf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9" fontId="62" fillId="0" borderId="0" applyFont="0" applyFill="0" applyBorder="0" applyAlignment="0" applyProtection="0">
      <alignment vertical="center"/>
    </xf>
    <xf numFmtId="0" fontId="38" fillId="0" borderId="0" applyFont="0" applyBorder="0" applyAlignment="0"/>
    <xf numFmtId="9" fontId="62" fillId="0" borderId="0" applyFont="0" applyFill="0" applyBorder="0" applyAlignment="0" applyProtection="0">
      <alignment vertical="center"/>
    </xf>
    <xf numFmtId="169" fontId="36" fillId="0" borderId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1" fillId="0" borderId="0" applyNumberFormat="0" applyFont="0" applyBorder="0" applyAlignment="0"/>
    <xf numFmtId="0" fontId="40" fillId="7" borderId="0" applyNumberFormat="0" applyBorder="0" applyAlignment="0" applyProtection="0">
      <alignment vertical="center"/>
    </xf>
    <xf numFmtId="0" fontId="19" fillId="0" borderId="0" applyNumberFormat="0" applyFont="0" applyBorder="0" applyAlignment="0"/>
    <xf numFmtId="0" fontId="62" fillId="0" borderId="0">
      <alignment vertical="center"/>
      <protection locked="0"/>
    </xf>
    <xf numFmtId="170" fontId="37" fillId="0" borderId="0" applyFont="0" applyFill="0" applyBorder="0" applyAlignment="0" applyProtection="0"/>
    <xf numFmtId="0" fontId="62" fillId="0" borderId="0">
      <alignment vertical="center"/>
      <protection locked="0"/>
    </xf>
    <xf numFmtId="164" fontId="35" fillId="0" borderId="0" applyFont="0" applyFill="0" applyBorder="0" applyAlignment="0" applyProtection="0"/>
    <xf numFmtId="169" fontId="36" fillId="0" borderId="0">
      <alignment vertical="center"/>
    </xf>
    <xf numFmtId="171" fontId="35" fillId="0" borderId="0" applyFont="0" applyFill="0" applyBorder="0" applyAlignment="0" applyProtection="0"/>
    <xf numFmtId="0" fontId="40" fillId="7" borderId="0" applyNumberFormat="0" applyBorder="0" applyAlignment="0" applyProtection="0">
      <alignment vertical="center"/>
    </xf>
    <xf numFmtId="164" fontId="35" fillId="0" borderId="0" applyFont="0" applyFill="0" applyBorder="0" applyAlignment="0" applyProtection="0"/>
    <xf numFmtId="0" fontId="62" fillId="0" borderId="0">
      <alignment vertical="center"/>
      <protection locked="0"/>
    </xf>
    <xf numFmtId="171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71" fontId="35" fillId="0" borderId="0" applyFont="0" applyFill="0" applyBorder="0" applyAlignment="0" applyProtection="0"/>
    <xf numFmtId="171" fontId="35" fillId="0" borderId="0" applyFont="0" applyFill="0" applyBorder="0" applyAlignment="0" applyProtection="0"/>
    <xf numFmtId="173" fontId="42" fillId="0" borderId="17">
      <alignment horizontal="center"/>
      <protection locked="0"/>
    </xf>
    <xf numFmtId="169" fontId="36" fillId="0" borderId="0">
      <alignment vertical="center"/>
    </xf>
    <xf numFmtId="169" fontId="36" fillId="0" borderId="0">
      <alignment vertical="center"/>
    </xf>
    <xf numFmtId="169" fontId="36" fillId="0" borderId="0">
      <alignment vertical="center"/>
    </xf>
    <xf numFmtId="0" fontId="40" fillId="7" borderId="0" applyNumberFormat="0" applyBorder="0" applyAlignment="0" applyProtection="0">
      <alignment vertical="center"/>
    </xf>
    <xf numFmtId="169" fontId="36" fillId="0" borderId="0">
      <alignment vertical="center"/>
    </xf>
    <xf numFmtId="169" fontId="36" fillId="0" borderId="0">
      <alignment vertical="center"/>
    </xf>
    <xf numFmtId="172" fontId="37" fillId="0" borderId="0"/>
    <xf numFmtId="0" fontId="43" fillId="8" borderId="0" applyNumberFormat="0" applyAlignment="0">
      <alignment horizontal="left" vertical="center"/>
    </xf>
    <xf numFmtId="0" fontId="43" fillId="9" borderId="0" applyNumberFormat="0" applyBorder="0" applyAlignment="0">
      <alignment vertical="center"/>
      <protection locked="0"/>
    </xf>
    <xf numFmtId="0" fontId="44" fillId="0" borderId="0" applyFont="0" applyFill="0" applyBorder="0" applyAlignment="0" applyProtection="0"/>
    <xf numFmtId="174" fontId="62" fillId="0" borderId="0" applyFont="0" applyFill="0" applyBorder="0" applyAlignment="0" applyProtection="0">
      <alignment vertical="center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0" fontId="62" fillId="0" borderId="0">
      <alignment vertical="center"/>
      <protection locked="0"/>
    </xf>
    <xf numFmtId="38" fontId="45" fillId="10" borderId="0" applyNumberFormat="0" applyBorder="0" applyAlignment="0" applyProtection="0"/>
    <xf numFmtId="0" fontId="62" fillId="0" borderId="0">
      <alignment vertical="center"/>
      <protection locked="0"/>
    </xf>
    <xf numFmtId="10" fontId="45" fillId="11" borderId="1" applyNumberFormat="0" applyBorder="0" applyAlignment="0" applyProtection="0"/>
    <xf numFmtId="0" fontId="46" fillId="0" borderId="35" applyNumberFormat="0" applyBorder="0" applyAlignment="0"/>
    <xf numFmtId="38" fontId="47" fillId="0" borderId="0" applyFont="0" applyFill="0" applyBorder="0" applyAlignment="0" applyProtection="0"/>
    <xf numFmtId="40" fontId="47" fillId="0" borderId="0" applyFont="0" applyFill="0" applyBorder="0" applyAlignment="0" applyProtection="0"/>
    <xf numFmtId="0" fontId="62" fillId="0" borderId="0">
      <alignment vertical="center"/>
    </xf>
    <xf numFmtId="6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0" fontId="48" fillId="6" borderId="0" applyNumberFormat="0" applyBorder="0" applyAlignment="0" applyProtection="0">
      <alignment vertical="center"/>
    </xf>
    <xf numFmtId="37" fontId="49" fillId="0" borderId="0"/>
    <xf numFmtId="175" fontId="50" fillId="0" borderId="0">
      <alignment vertical="center"/>
    </xf>
    <xf numFmtId="0" fontId="40" fillId="7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10" fontId="37" fillId="0" borderId="0" applyFont="0" applyFill="0" applyBorder="0" applyAlignment="0" applyProtection="0"/>
    <xf numFmtId="0" fontId="43" fillId="0" borderId="36" applyNumberFormat="0" applyBorder="0" applyAlignment="0">
      <alignment horizontal="left" vertical="center"/>
      <protection locked="0"/>
    </xf>
    <xf numFmtId="0" fontId="48" fillId="6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/>
    <xf numFmtId="0" fontId="52" fillId="12" borderId="37" applyNumberFormat="0" applyFont="0" applyBorder="0" applyAlignment="0" applyProtection="0"/>
    <xf numFmtId="176" fontId="53" fillId="0" borderId="17">
      <alignment horizontal="justify" vertical="top" wrapText="1"/>
    </xf>
    <xf numFmtId="0" fontId="52" fillId="0" borderId="35" applyNumberFormat="0" applyBorder="0" applyAlignment="0"/>
    <xf numFmtId="9" fontId="62" fillId="0" borderId="0" applyFont="0" applyFill="0" applyBorder="0" applyAlignment="0" applyProtection="0">
      <alignment vertical="center"/>
    </xf>
    <xf numFmtId="9" fontId="62" fillId="0" borderId="0" applyFont="0" applyFill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44" fillId="0" borderId="0" applyFont="0" applyFill="0" applyBorder="0" applyAlignment="0" applyProtection="0"/>
    <xf numFmtId="0" fontId="54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166" fontId="35" fillId="0" borderId="0" applyFont="0" applyFill="0" applyBorder="0" applyAlignment="0" applyProtection="0"/>
    <xf numFmtId="0" fontId="40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62" fillId="0" borderId="0"/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3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5" fillId="0" borderId="0" applyNumberFormat="0" applyFont="0" applyAlignment="0"/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4" fillId="0" borderId="0">
      <alignment vertical="center"/>
    </xf>
    <xf numFmtId="0" fontId="62" fillId="0" borderId="0">
      <alignment vertical="center"/>
    </xf>
    <xf numFmtId="4" fontId="55" fillId="0" borderId="0">
      <alignment vertical="center"/>
    </xf>
    <xf numFmtId="0" fontId="56" fillId="0" borderId="0" applyNumberFormat="0" applyFill="0" applyBorder="0" applyAlignment="0" applyProtection="0">
      <alignment vertical="top"/>
      <protection locked="0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35" fillId="0" borderId="0" applyFont="0" applyAlignment="0"/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167" fontId="37" fillId="0" borderId="0" applyFont="0" applyFill="0" applyBorder="0" applyAlignment="0" applyProtection="0"/>
    <xf numFmtId="0" fontId="35" fillId="0" borderId="0" applyNumberFormat="0" applyFont="0" applyBorder="0" applyAlignment="0"/>
    <xf numFmtId="0" fontId="35" fillId="0" borderId="0" applyFont="0" applyBorder="0" applyAlignment="0"/>
    <xf numFmtId="0" fontId="35" fillId="0" borderId="0" applyNumberFormat="0" applyFont="0" applyAlignment="0"/>
    <xf numFmtId="0" fontId="38" fillId="0" borderId="0" applyNumberFormat="0" applyFont="0" applyBorder="0" applyAlignment="0"/>
    <xf numFmtId="0" fontId="38" fillId="0" borderId="0" applyNumberFormat="0" applyFont="0" applyBorder="0" applyAlignment="0"/>
    <xf numFmtId="0" fontId="38" fillId="0" borderId="0" applyFont="0" applyBorder="0" applyAlignment="0"/>
    <xf numFmtId="0" fontId="38" fillId="0" borderId="0" applyNumberFormat="0" applyFont="0" applyBorder="0" applyAlignment="0" applyProtection="0"/>
    <xf numFmtId="0" fontId="38" fillId="0" borderId="0" applyNumberFormat="0" applyFont="0" applyBorder="0" applyAlignment="0"/>
    <xf numFmtId="0" fontId="38" fillId="0" borderId="0" applyNumberFormat="0" applyFont="0" applyBorder="0" applyAlignment="0"/>
    <xf numFmtId="0" fontId="57" fillId="0" borderId="0" applyNumberFormat="0" applyFont="0" applyBorder="0" applyAlignment="0"/>
    <xf numFmtId="41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0" fontId="44" fillId="0" borderId="0"/>
    <xf numFmtId="4" fontId="55" fillId="0" borderId="0">
      <alignment vertical="center"/>
    </xf>
    <xf numFmtId="0" fontId="62" fillId="0" borderId="0"/>
    <xf numFmtId="0" fontId="62" fillId="0" borderId="0"/>
  </cellStyleXfs>
  <cellXfs count="209">
    <xf numFmtId="0" fontId="0" fillId="0" borderId="0" xfId="0" applyAlignment="1"/>
    <xf numFmtId="0" fontId="62" fillId="0" borderId="0" xfId="96"/>
    <xf numFmtId="0" fontId="2" fillId="0" borderId="0" xfId="96" applyFont="1" applyAlignment="1">
      <alignment vertical="center"/>
    </xf>
    <xf numFmtId="4" fontId="3" fillId="0" borderId="0" xfId="113" applyFont="1" applyAlignment="1">
      <alignment horizontal="center" vertical="center"/>
    </xf>
    <xf numFmtId="177" fontId="3" fillId="0" borderId="0" xfId="113" applyNumberFormat="1" applyFont="1" applyAlignment="1">
      <alignment horizontal="center" vertical="center"/>
    </xf>
    <xf numFmtId="4" fontId="3" fillId="2" borderId="0" xfId="113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40" fontId="4" fillId="2" borderId="1" xfId="0" applyNumberFormat="1" applyFont="1" applyFill="1" applyBorder="1" applyAlignment="1">
      <alignment horizontal="left" vertical="center"/>
    </xf>
    <xf numFmtId="0" fontId="0" fillId="2" borderId="1" xfId="0" applyFill="1" applyBorder="1">
      <alignment vertical="center"/>
    </xf>
    <xf numFmtId="40" fontId="0" fillId="3" borderId="1" xfId="0" applyNumberForma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" fontId="6" fillId="4" borderId="1" xfId="0" applyNumberFormat="1" applyFont="1" applyFill="1" applyBorder="1" applyAlignment="1">
      <alignment horizontal="center" vertical="center"/>
    </xf>
    <xf numFmtId="4" fontId="5" fillId="4" borderId="1" xfId="0" applyNumberFormat="1" applyFont="1" applyFill="1" applyBorder="1" applyAlignment="1">
      <alignment horizontal="center" vertical="center"/>
    </xf>
    <xf numFmtId="4" fontId="3" fillId="4" borderId="1" xfId="113" applyFont="1" applyFill="1" applyBorder="1" applyAlignment="1">
      <alignment horizontal="center" vertical="center"/>
    </xf>
    <xf numFmtId="0" fontId="3" fillId="4" borderId="0" xfId="113" applyNumberFormat="1" applyFont="1" applyFill="1" applyAlignment="1">
      <alignment horizontal="center" vertical="center"/>
    </xf>
    <xf numFmtId="49" fontId="3" fillId="0" borderId="0" xfId="113" applyNumberFormat="1" applyFont="1" applyAlignment="1">
      <alignment horizontal="center" vertical="center"/>
    </xf>
    <xf numFmtId="0" fontId="62" fillId="0" borderId="0" xfId="99" applyAlignment="1" applyProtection="1">
      <protection locked="0"/>
    </xf>
    <xf numFmtId="0" fontId="7" fillId="0" borderId="0" xfId="99" applyFont="1" applyAlignment="1" applyProtection="1">
      <protection locked="0"/>
    </xf>
    <xf numFmtId="0" fontId="8" fillId="0" borderId="0" xfId="99" applyFont="1" applyAlignment="1" applyProtection="1">
      <protection locked="0"/>
    </xf>
    <xf numFmtId="0" fontId="8" fillId="0" borderId="0" xfId="99" applyFont="1" applyProtection="1">
      <alignment vertical="center"/>
      <protection locked="0"/>
    </xf>
    <xf numFmtId="0" fontId="9" fillId="0" borderId="0" xfId="99" applyFont="1" applyProtection="1">
      <alignment vertical="center"/>
      <protection locked="0"/>
    </xf>
    <xf numFmtId="0" fontId="10" fillId="0" borderId="0" xfId="99" applyFont="1" applyProtection="1">
      <alignment vertical="center"/>
      <protection locked="0"/>
    </xf>
    <xf numFmtId="0" fontId="1" fillId="0" borderId="0" xfId="99" applyFont="1" applyProtection="1">
      <alignment vertical="center"/>
      <protection locked="0"/>
    </xf>
    <xf numFmtId="0" fontId="1" fillId="0" borderId="0" xfId="99" applyFont="1" applyAlignment="1" applyProtection="1">
      <protection locked="0"/>
    </xf>
    <xf numFmtId="0" fontId="62" fillId="0" borderId="0" xfId="99" applyAlignment="1" applyProtection="1">
      <alignment horizontal="left"/>
      <protection locked="0"/>
    </xf>
    <xf numFmtId="0" fontId="62" fillId="0" borderId="2" xfId="99" applyBorder="1" applyAlignment="1" applyProtection="1">
      <protection locked="0"/>
    </xf>
    <xf numFmtId="0" fontId="62" fillId="0" borderId="3" xfId="99" applyBorder="1" applyAlignment="1" applyProtection="1">
      <protection locked="0"/>
    </xf>
    <xf numFmtId="0" fontId="62" fillId="0" borderId="4" xfId="99" applyBorder="1" applyProtection="1">
      <alignment vertical="center"/>
      <protection locked="0"/>
    </xf>
    <xf numFmtId="0" fontId="12" fillId="0" borderId="0" xfId="99" applyFont="1" applyProtection="1">
      <alignment vertical="center"/>
      <protection locked="0"/>
    </xf>
    <xf numFmtId="0" fontId="62" fillId="0" borderId="0" xfId="99" applyProtection="1">
      <alignment vertical="center"/>
      <protection locked="0"/>
    </xf>
    <xf numFmtId="0" fontId="13" fillId="0" borderId="0" xfId="99" applyFont="1" applyProtection="1">
      <alignment vertical="center"/>
      <protection locked="0"/>
    </xf>
    <xf numFmtId="0" fontId="1" fillId="0" borderId="3" xfId="99" applyFont="1" applyBorder="1" applyAlignment="1" applyProtection="1">
      <alignment horizontal="center"/>
      <protection locked="0"/>
    </xf>
    <xf numFmtId="0" fontId="8" fillId="0" borderId="4" xfId="99" applyFont="1" applyBorder="1" applyAlignment="1" applyProtection="1">
      <protection locked="0"/>
    </xf>
    <xf numFmtId="0" fontId="15" fillId="0" borderId="0" xfId="99" applyFont="1" applyAlignment="1" applyProtection="1">
      <alignment horizontal="center"/>
      <protection locked="0"/>
    </xf>
    <xf numFmtId="0" fontId="15" fillId="0" borderId="0" xfId="99" applyFont="1" applyAlignment="1" applyProtection="1">
      <alignment horizontal="distributed"/>
      <protection locked="0"/>
    </xf>
    <xf numFmtId="0" fontId="13" fillId="0" borderId="0" xfId="99" applyFont="1" applyAlignment="1" applyProtection="1">
      <alignment horizontal="center" vertical="center"/>
      <protection locked="0"/>
    </xf>
    <xf numFmtId="0" fontId="8" fillId="0" borderId="4" xfId="99" applyFont="1" applyBorder="1" applyAlignment="1" applyProtection="1">
      <alignment horizontal="center" vertical="center"/>
      <protection locked="0"/>
    </xf>
    <xf numFmtId="0" fontId="8" fillId="5" borderId="5" xfId="99" applyFont="1" applyFill="1" applyBorder="1" applyAlignment="1" applyProtection="1">
      <alignment horizontal="center" vertical="center"/>
      <protection locked="0"/>
    </xf>
    <xf numFmtId="0" fontId="8" fillId="0" borderId="0" xfId="99" applyFont="1" applyAlignment="1" applyProtection="1">
      <alignment horizontal="center" vertical="center"/>
      <protection locked="0"/>
    </xf>
    <xf numFmtId="0" fontId="16" fillId="0" borderId="6" xfId="99" applyFont="1" applyBorder="1" applyAlignment="1" applyProtection="1">
      <alignment horizontal="left"/>
      <protection locked="0"/>
    </xf>
    <xf numFmtId="0" fontId="62" fillId="0" borderId="7" xfId="99" applyBorder="1" applyAlignment="1" applyProtection="1">
      <protection locked="0"/>
    </xf>
    <xf numFmtId="0" fontId="1" fillId="0" borderId="9" xfId="99" applyFont="1" applyBorder="1" applyAlignment="1" applyProtection="1">
      <alignment horizontal="center" vertical="center" wrapText="1"/>
      <protection locked="0"/>
    </xf>
    <xf numFmtId="0" fontId="1" fillId="0" borderId="1" xfId="99" applyFont="1" applyBorder="1" applyAlignment="1" applyProtection="1">
      <alignment horizontal="center" vertical="center" wrapText="1"/>
      <protection locked="0"/>
    </xf>
    <xf numFmtId="0" fontId="1" fillId="0" borderId="10" xfId="99" applyFont="1" applyBorder="1" applyAlignment="1" applyProtection="1">
      <alignment horizontal="center" vertical="center" wrapText="1"/>
      <protection locked="0"/>
    </xf>
    <xf numFmtId="0" fontId="1" fillId="5" borderId="1" xfId="99" applyFont="1" applyFill="1" applyBorder="1" applyAlignment="1" applyProtection="1">
      <alignment horizontal="center" vertical="center" wrapText="1"/>
      <protection locked="0"/>
    </xf>
    <xf numFmtId="178" fontId="1" fillId="5" borderId="11" xfId="99" applyNumberFormat="1" applyFont="1" applyFill="1" applyBorder="1" applyAlignment="1" applyProtection="1">
      <alignment horizontal="center" vertical="center" wrapText="1"/>
      <protection locked="0"/>
    </xf>
    <xf numFmtId="0" fontId="1" fillId="0" borderId="10" xfId="99" applyFont="1" applyBorder="1" applyAlignment="1">
      <alignment horizontal="center" vertical="center" wrapText="1"/>
    </xf>
    <xf numFmtId="0" fontId="1" fillId="0" borderId="8" xfId="99" applyFont="1" applyBorder="1" applyAlignment="1" applyProtection="1">
      <alignment horizontal="center" vertical="center" wrapText="1"/>
      <protection locked="0"/>
    </xf>
    <xf numFmtId="14" fontId="18" fillId="5" borderId="1" xfId="99" applyNumberFormat="1" applyFont="1" applyFill="1" applyBorder="1" applyAlignment="1" applyProtection="1">
      <alignment horizontal="center" vertical="center" wrapText="1"/>
      <protection locked="0"/>
    </xf>
    <xf numFmtId="14" fontId="18" fillId="0" borderId="1" xfId="99" applyNumberFormat="1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protection locked="0"/>
    </xf>
    <xf numFmtId="0" fontId="1" fillId="0" borderId="1" xfId="99" applyFont="1" applyBorder="1" applyAlignment="1" applyProtection="1">
      <alignment vertical="center" wrapText="1"/>
      <protection locked="0"/>
    </xf>
    <xf numFmtId="0" fontId="1" fillId="0" borderId="6" xfId="99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protection locked="0"/>
    </xf>
    <xf numFmtId="14" fontId="18" fillId="0" borderId="12" xfId="99" applyNumberFormat="1" applyFont="1" applyBorder="1" applyAlignment="1" applyProtection="1">
      <alignment horizontal="center" vertical="center" wrapText="1"/>
      <protection locked="0"/>
    </xf>
    <xf numFmtId="0" fontId="18" fillId="0" borderId="1" xfId="99" applyFont="1" applyBorder="1" applyAlignment="1" applyProtection="1">
      <alignment horizontal="center" vertical="center" wrapText="1"/>
      <protection locked="0"/>
    </xf>
    <xf numFmtId="0" fontId="1" fillId="0" borderId="1" xfId="99" applyFont="1" applyBorder="1" applyAlignment="1" applyProtection="1">
      <alignment horizontal="center" vertical="center"/>
      <protection locked="0"/>
    </xf>
    <xf numFmtId="0" fontId="1" fillId="0" borderId="13" xfId="99" applyFont="1" applyBorder="1" applyAlignment="1" applyProtection="1">
      <alignment horizontal="center" vertical="center" wrapText="1"/>
      <protection locked="0"/>
    </xf>
    <xf numFmtId="0" fontId="1" fillId="5" borderId="12" xfId="99" applyFont="1" applyFill="1" applyBorder="1" applyAlignment="1" applyProtection="1">
      <alignment horizontal="center" vertical="center" wrapText="1"/>
      <protection locked="0"/>
    </xf>
    <xf numFmtId="178" fontId="1" fillId="5" borderId="14" xfId="99" applyNumberFormat="1" applyFont="1" applyFill="1" applyBorder="1" applyAlignment="1" applyProtection="1">
      <alignment horizontal="center" vertical="center" wrapText="1"/>
      <protection locked="0"/>
    </xf>
    <xf numFmtId="0" fontId="1" fillId="0" borderId="15" xfId="99" applyFont="1" applyBorder="1" applyAlignment="1">
      <alignment horizontal="center" vertical="center" wrapText="1"/>
    </xf>
    <xf numFmtId="0" fontId="1" fillId="0" borderId="1" xfId="99" applyFont="1" applyBorder="1" applyAlignment="1" applyProtection="1">
      <alignment horizontal="center"/>
      <protection locked="0"/>
    </xf>
    <xf numFmtId="0" fontId="1" fillId="0" borderId="5" xfId="99" applyFont="1" applyBorder="1" applyAlignment="1" applyProtection="1">
      <alignment horizontal="center" vertical="center" wrapText="1"/>
      <protection locked="0"/>
    </xf>
    <xf numFmtId="0" fontId="1" fillId="0" borderId="10" xfId="99" applyFont="1" applyBorder="1" applyAlignment="1" applyProtection="1">
      <alignment horizontal="center"/>
      <protection locked="0"/>
    </xf>
    <xf numFmtId="0" fontId="1" fillId="0" borderId="25" xfId="99" applyFont="1" applyBorder="1" applyAlignment="1" applyProtection="1">
      <alignment horizontal="center" vertical="center" wrapText="1"/>
      <protection locked="0"/>
    </xf>
    <xf numFmtId="0" fontId="18" fillId="0" borderId="25" xfId="99" applyFont="1" applyBorder="1" applyAlignment="1" applyProtection="1">
      <alignment horizontal="center" vertical="center"/>
      <protection locked="0"/>
    </xf>
    <xf numFmtId="0" fontId="1" fillId="5" borderId="10" xfId="99" applyFont="1" applyFill="1" applyBorder="1" applyAlignment="1" applyProtection="1">
      <alignment horizontal="center" vertical="center"/>
      <protection locked="0"/>
    </xf>
    <xf numFmtId="0" fontId="18" fillId="5" borderId="10" xfId="99" applyFont="1" applyFill="1" applyBorder="1" applyAlignment="1" applyProtection="1">
      <alignment horizontal="center" vertical="center" wrapText="1"/>
      <protection locked="0"/>
    </xf>
    <xf numFmtId="0" fontId="1" fillId="0" borderId="1" xfId="99" applyFont="1" applyBorder="1" applyAlignment="1">
      <alignment horizontal="center" vertical="center"/>
    </xf>
    <xf numFmtId="0" fontId="19" fillId="0" borderId="16" xfId="99" applyFont="1" applyBorder="1" applyAlignment="1" applyProtection="1">
      <alignment horizontal="center" vertical="center"/>
      <protection locked="0"/>
    </xf>
    <xf numFmtId="0" fontId="1" fillId="5" borderId="1" xfId="112" applyFont="1" applyFill="1" applyBorder="1" applyAlignment="1" applyProtection="1">
      <alignment horizontal="center" vertical="center"/>
      <protection locked="0"/>
    </xf>
    <xf numFmtId="0" fontId="19" fillId="0" borderId="25" xfId="99" applyFont="1" applyBorder="1" applyAlignment="1" applyProtection="1">
      <alignment horizontal="center" vertical="center"/>
      <protection locked="0"/>
    </xf>
    <xf numFmtId="0" fontId="1" fillId="5" borderId="10" xfId="112" applyFont="1" applyFill="1" applyBorder="1" applyAlignment="1" applyProtection="1">
      <alignment horizontal="center" vertical="center"/>
      <protection locked="0"/>
    </xf>
    <xf numFmtId="0" fontId="18" fillId="0" borderId="26" xfId="99" applyFont="1" applyBorder="1" applyAlignment="1" applyProtection="1">
      <alignment horizontal="center" vertical="center"/>
      <protection locked="0"/>
    </xf>
    <xf numFmtId="0" fontId="1" fillId="5" borderId="15" xfId="99" applyFont="1" applyFill="1" applyBorder="1" applyAlignment="1" applyProtection="1">
      <alignment horizontal="center" vertical="center"/>
      <protection locked="0"/>
    </xf>
    <xf numFmtId="0" fontId="18" fillId="5" borderId="15" xfId="99" applyFont="1" applyFill="1" applyBorder="1" applyAlignment="1" applyProtection="1">
      <alignment horizontal="center" vertical="center" wrapText="1"/>
      <protection locked="0"/>
    </xf>
    <xf numFmtId="0" fontId="1" fillId="0" borderId="12" xfId="99" applyFont="1" applyBorder="1" applyAlignment="1">
      <alignment horizontal="center" vertical="center"/>
    </xf>
    <xf numFmtId="0" fontId="19" fillId="0" borderId="27" xfId="99" applyFont="1" applyBorder="1" applyAlignment="1" applyProtection="1">
      <alignment horizontal="center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14" fontId="18" fillId="5" borderId="12" xfId="99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99" applyFont="1" applyAlignment="1" applyProtection="1">
      <alignment horizontal="center" vertical="center" wrapText="1"/>
      <protection locked="0"/>
    </xf>
    <xf numFmtId="0" fontId="0" fillId="0" borderId="0" xfId="0" applyAlignment="1" applyProtection="1">
      <protection locked="0"/>
    </xf>
    <xf numFmtId="178" fontId="1" fillId="0" borderId="0" xfId="99" applyNumberFormat="1" applyFont="1" applyAlignment="1" applyProtection="1">
      <alignment horizontal="left" vertical="center"/>
      <protection locked="0"/>
    </xf>
    <xf numFmtId="0" fontId="62" fillId="0" borderId="28" xfId="99" applyBorder="1" applyAlignment="1" applyProtection="1">
      <protection locked="0"/>
    </xf>
    <xf numFmtId="0" fontId="20" fillId="0" borderId="0" xfId="99" applyFont="1" applyAlignment="1" applyProtection="1">
      <alignment horizontal="left" vertical="center"/>
      <protection locked="0"/>
    </xf>
    <xf numFmtId="0" fontId="62" fillId="0" borderId="0" xfId="99" applyAlignment="1" applyProtection="1">
      <alignment horizontal="left" vertical="center"/>
      <protection locked="0"/>
    </xf>
    <xf numFmtId="0" fontId="13" fillId="0" borderId="29" xfId="99" applyFont="1" applyBorder="1" applyProtection="1">
      <alignment vertical="center"/>
      <protection locked="0"/>
    </xf>
    <xf numFmtId="0" fontId="1" fillId="0" borderId="28" xfId="99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left" vertical="center"/>
    </xf>
    <xf numFmtId="0" fontId="62" fillId="5" borderId="1" xfId="151" applyFill="1" applyBorder="1" applyAlignment="1" applyProtection="1">
      <alignment horizontal="left" vertical="center"/>
      <protection locked="0"/>
    </xf>
    <xf numFmtId="0" fontId="62" fillId="5" borderId="10" xfId="150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 wrapText="1"/>
    </xf>
    <xf numFmtId="0" fontId="14" fillId="0" borderId="0" xfId="99" applyFont="1" applyAlignment="1" applyProtection="1">
      <protection locked="0"/>
    </xf>
    <xf numFmtId="0" fontId="62" fillId="0" borderId="1" xfId="151" applyBorder="1" applyAlignment="1" applyProtection="1">
      <alignment horizontal="left" vertical="center"/>
      <protection locked="0"/>
    </xf>
    <xf numFmtId="0" fontId="62" fillId="5" borderId="10" xfId="151" applyFill="1" applyBorder="1" applyAlignment="1" applyProtection="1">
      <alignment horizontal="left" vertical="center"/>
      <protection locked="0"/>
    </xf>
    <xf numFmtId="0" fontId="8" fillId="0" borderId="29" xfId="99" applyFont="1" applyBorder="1" applyProtection="1">
      <alignment vertical="center"/>
      <protection locked="0"/>
    </xf>
    <xf numFmtId="0" fontId="62" fillId="0" borderId="1" xfId="150" applyBorder="1" applyAlignment="1" applyProtection="1">
      <alignment horizontal="left" vertical="center"/>
      <protection locked="0"/>
    </xf>
    <xf numFmtId="0" fontId="8" fillId="5" borderId="30" xfId="99" applyFont="1" applyFill="1" applyBorder="1" applyAlignment="1" applyProtection="1">
      <alignment horizontal="center" vertical="center"/>
      <protection locked="0"/>
    </xf>
    <xf numFmtId="0" fontId="62" fillId="0" borderId="31" xfId="99" applyBorder="1" applyAlignment="1" applyProtection="1">
      <protection locked="0"/>
    </xf>
    <xf numFmtId="0" fontId="62" fillId="0" borderId="1" xfId="99" applyBorder="1" applyAlignment="1" applyProtection="1">
      <protection locked="0"/>
    </xf>
    <xf numFmtId="0" fontId="62" fillId="5" borderId="10" xfId="99" applyFill="1" applyBorder="1" applyAlignment="1" applyProtection="1">
      <alignment horizontal="left" vertical="center"/>
      <protection locked="0"/>
    </xf>
    <xf numFmtId="0" fontId="9" fillId="0" borderId="0" xfId="99" applyFont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62" fillId="0" borderId="18" xfId="99" applyBorder="1" applyAlignment="1" applyProtection="1">
      <alignment horizontal="center" vertical="center" wrapText="1"/>
      <protection locked="0"/>
    </xf>
    <xf numFmtId="178" fontId="10" fillId="0" borderId="0" xfId="99" applyNumberFormat="1" applyFont="1" applyAlignment="1" applyProtection="1">
      <alignment horizontal="center" vertical="center"/>
      <protection locked="0"/>
    </xf>
    <xf numFmtId="0" fontId="1" fillId="0" borderId="0" xfId="99" applyFont="1" applyAlignment="1" applyProtection="1">
      <alignment horizontal="left" vertical="center" wrapText="1"/>
      <protection locked="0"/>
    </xf>
    <xf numFmtId="0" fontId="9" fillId="0" borderId="0" xfId="99" applyFont="1" applyAlignment="1">
      <alignment horizontal="left" vertical="center"/>
    </xf>
    <xf numFmtId="0" fontId="18" fillId="5" borderId="1" xfId="99" applyFont="1" applyFill="1" applyBorder="1" applyAlignment="1">
      <alignment horizontal="center" vertical="center" wrapText="1"/>
    </xf>
    <xf numFmtId="0" fontId="62" fillId="0" borderId="18" xfId="99" applyBorder="1" applyAlignment="1">
      <alignment horizontal="center" vertical="center" wrapText="1"/>
    </xf>
    <xf numFmtId="178" fontId="9" fillId="0" borderId="0" xfId="99" applyNumberFormat="1" applyFont="1" applyAlignment="1">
      <alignment horizontal="left" vertical="center"/>
    </xf>
    <xf numFmtId="0" fontId="0" fillId="0" borderId="0" xfId="0">
      <alignment vertical="center"/>
    </xf>
    <xf numFmtId="0" fontId="18" fillId="0" borderId="1" xfId="99" applyFont="1" applyBorder="1" applyAlignment="1">
      <alignment horizontal="center" vertical="center" wrapText="1"/>
    </xf>
    <xf numFmtId="0" fontId="18" fillId="0" borderId="12" xfId="99" applyFont="1" applyBorder="1" applyAlignment="1" applyProtection="1">
      <alignment horizontal="center" vertical="center" wrapText="1"/>
      <protection locked="0"/>
    </xf>
    <xf numFmtId="0" fontId="62" fillId="0" borderId="21" xfId="99" applyBorder="1" applyAlignment="1" applyProtection="1">
      <alignment horizontal="center" vertical="center" wrapText="1"/>
      <protection locked="0"/>
    </xf>
    <xf numFmtId="178" fontId="1" fillId="0" borderId="0" xfId="99" applyNumberFormat="1" applyFont="1" applyAlignment="1" applyProtection="1">
      <alignment horizontal="center"/>
      <protection locked="0"/>
    </xf>
    <xf numFmtId="0" fontId="1" fillId="0" borderId="30" xfId="112" applyFont="1" applyBorder="1" applyAlignment="1" applyProtection="1">
      <alignment horizontal="center" vertical="center"/>
      <protection locked="0"/>
    </xf>
    <xf numFmtId="0" fontId="18" fillId="5" borderId="1" xfId="112" applyFont="1" applyFill="1" applyBorder="1" applyAlignment="1">
      <alignment horizontal="center" vertical="center"/>
    </xf>
    <xf numFmtId="0" fontId="1" fillId="0" borderId="18" xfId="112" applyFont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  <protection locked="0"/>
    </xf>
    <xf numFmtId="49" fontId="22" fillId="0" borderId="0" xfId="0" applyNumberFormat="1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18" fillId="5" borderId="12" xfId="112" applyFont="1" applyFill="1" applyBorder="1" applyAlignment="1">
      <alignment horizontal="center" vertical="center"/>
    </xf>
    <xf numFmtId="0" fontId="1" fillId="0" borderId="21" xfId="112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3" fillId="0" borderId="0" xfId="99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49" fontId="62" fillId="0" borderId="0" xfId="99" applyNumberFormat="1" applyAlignment="1">
      <alignment horizontal="left" vertical="center" wrapText="1"/>
    </xf>
    <xf numFmtId="0" fontId="24" fillId="0" borderId="0" xfId="99" applyFont="1" applyAlignment="1">
      <alignment horizontal="left" vertical="center"/>
    </xf>
    <xf numFmtId="0" fontId="62" fillId="0" borderId="0" xfId="99" applyAlignment="1">
      <alignment horizontal="left" vertical="center"/>
    </xf>
    <xf numFmtId="165" fontId="0" fillId="0" borderId="0" xfId="0" applyNumberFormat="1">
      <alignment vertical="center"/>
    </xf>
    <xf numFmtId="178" fontId="62" fillId="0" borderId="0" xfId="99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62" fillId="0" borderId="0" xfId="99">
      <alignment vertical="center"/>
    </xf>
    <xf numFmtId="0" fontId="25" fillId="0" borderId="0" xfId="0" applyFont="1" applyAlignment="1" applyProtection="1">
      <alignment horizontal="left" vertical="center"/>
      <protection locked="0"/>
    </xf>
    <xf numFmtId="49" fontId="25" fillId="0" borderId="0" xfId="0" applyNumberFormat="1" applyFont="1" applyAlignment="1" applyProtection="1">
      <alignment horizontal="left" vertical="center"/>
      <protection locked="0"/>
    </xf>
    <xf numFmtId="49" fontId="26" fillId="0" borderId="0" xfId="0" applyNumberFormat="1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4" fillId="0" borderId="0" xfId="99" applyFont="1" applyAlignment="1" applyProtection="1">
      <alignment horizontal="left" vertical="center"/>
      <protection locked="0"/>
    </xf>
    <xf numFmtId="178" fontId="62" fillId="0" borderId="0" xfId="99" applyNumberFormat="1" applyAlignment="1" applyProtection="1">
      <alignment horizontal="left" vertical="center"/>
      <protection locked="0"/>
    </xf>
    <xf numFmtId="9" fontId="62" fillId="0" borderId="0" xfId="99" applyNumberFormat="1" applyAlignment="1">
      <alignment horizontal="left" vertical="center"/>
    </xf>
    <xf numFmtId="0" fontId="17" fillId="0" borderId="0" xfId="0" applyFont="1" applyAlignment="1" applyProtection="1">
      <alignment vertical="center" wrapText="1"/>
      <protection locked="0"/>
    </xf>
    <xf numFmtId="165" fontId="17" fillId="0" borderId="0" xfId="0" applyNumberFormat="1" applyFont="1" applyAlignment="1" applyProtection="1">
      <alignment vertical="center" wrapText="1"/>
      <protection locked="0"/>
    </xf>
    <xf numFmtId="165" fontId="25" fillId="0" borderId="0" xfId="0" applyNumberFormat="1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165" fontId="25" fillId="0" borderId="0" xfId="0" applyNumberFormat="1" applyFont="1" applyAlignment="1" applyProtection="1">
      <alignment horizontal="center" vertical="center"/>
      <protection locked="0"/>
    </xf>
    <xf numFmtId="165" fontId="23" fillId="0" borderId="0" xfId="0" applyNumberFormat="1" applyFont="1" applyAlignment="1" applyProtection="1">
      <alignment horizontal="left" vertical="center"/>
      <protection locked="0"/>
    </xf>
    <xf numFmtId="49" fontId="22" fillId="0" borderId="0" xfId="0" applyNumberFormat="1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 applyProtection="1">
      <alignment horizontal="center" vertical="center"/>
      <protection locked="0"/>
    </xf>
    <xf numFmtId="10" fontId="25" fillId="0" borderId="0" xfId="0" applyNumberFormat="1" applyFont="1" applyAlignment="1" applyProtection="1">
      <alignment horizontal="center" vertical="center"/>
      <protection locked="0"/>
    </xf>
    <xf numFmtId="178" fontId="28" fillId="0" borderId="0" xfId="0" applyNumberFormat="1" applyFont="1" applyAlignment="1" applyProtection="1">
      <alignment horizontal="center" vertical="center"/>
      <protection locked="0"/>
    </xf>
    <xf numFmtId="178" fontId="29" fillId="0" borderId="0" xfId="0" applyNumberFormat="1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2" fontId="30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2" fontId="22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22" fillId="0" borderId="0" xfId="0" applyNumberFormat="1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  <protection locked="0"/>
    </xf>
    <xf numFmtId="0" fontId="11" fillId="0" borderId="4" xfId="99" applyFont="1" applyBorder="1" applyAlignment="1" applyProtection="1">
      <alignment horizontal="center" vertical="center"/>
      <protection locked="0"/>
    </xf>
    <xf numFmtId="0" fontId="11" fillId="0" borderId="0" xfId="99" applyFont="1" applyAlignment="1" applyProtection="1">
      <alignment horizontal="center" vertical="center"/>
      <protection locked="0"/>
    </xf>
    <xf numFmtId="0" fontId="11" fillId="0" borderId="29" xfId="99" applyFont="1" applyBorder="1" applyAlignment="1" applyProtection="1">
      <alignment horizontal="center" vertical="center"/>
      <protection locked="0"/>
    </xf>
    <xf numFmtId="0" fontId="14" fillId="0" borderId="4" xfId="99" applyFont="1" applyBorder="1" applyAlignment="1" applyProtection="1">
      <alignment horizontal="center"/>
      <protection locked="0"/>
    </xf>
    <xf numFmtId="0" fontId="14" fillId="0" borderId="0" xfId="99" applyFont="1" applyAlignment="1" applyProtection="1">
      <alignment horizontal="center"/>
      <protection locked="0"/>
    </xf>
    <xf numFmtId="0" fontId="14" fillId="0" borderId="29" xfId="99" applyFont="1" applyBorder="1" applyAlignment="1" applyProtection="1">
      <alignment horizontal="center"/>
      <protection locked="0"/>
    </xf>
    <xf numFmtId="0" fontId="8" fillId="0" borderId="0" xfId="99" applyFont="1" applyAlignment="1" applyProtection="1">
      <alignment horizontal="center" vertical="center"/>
      <protection locked="0"/>
    </xf>
    <xf numFmtId="0" fontId="17" fillId="0" borderId="8" xfId="99" applyFont="1" applyBorder="1" applyAlignment="1" applyProtection="1">
      <alignment horizontal="center" vertical="center" wrapText="1"/>
      <protection locked="0"/>
    </xf>
    <xf numFmtId="0" fontId="17" fillId="0" borderId="5" xfId="99" applyFont="1" applyBorder="1" applyAlignment="1" applyProtection="1">
      <alignment horizontal="center" vertical="center" wrapText="1"/>
      <protection locked="0"/>
    </xf>
    <xf numFmtId="0" fontId="17" fillId="0" borderId="30" xfId="99" applyFont="1" applyBorder="1" applyAlignment="1" applyProtection="1">
      <alignment horizontal="center" vertical="center" wrapText="1"/>
      <protection locked="0"/>
    </xf>
    <xf numFmtId="0" fontId="1" fillId="0" borderId="10" xfId="99" applyFont="1" applyBorder="1" applyAlignment="1" applyProtection="1">
      <alignment horizontal="center" vertical="center" wrapText="1"/>
      <protection locked="0"/>
    </xf>
    <xf numFmtId="0" fontId="1" fillId="0" borderId="11" xfId="99" applyFont="1" applyBorder="1" applyAlignment="1" applyProtection="1">
      <alignment horizontal="center" vertical="center" wrapText="1"/>
      <protection locked="0"/>
    </xf>
    <xf numFmtId="0" fontId="17" fillId="0" borderId="8" xfId="99" applyFont="1" applyBorder="1" applyAlignment="1" applyProtection="1">
      <alignment horizontal="center" vertical="center"/>
      <protection locked="0"/>
    </xf>
    <xf numFmtId="0" fontId="17" fillId="0" borderId="5" xfId="99" applyFont="1" applyBorder="1" applyAlignment="1" applyProtection="1">
      <alignment horizontal="center" vertical="center"/>
      <protection locked="0"/>
    </xf>
    <xf numFmtId="0" fontId="17" fillId="0" borderId="30" xfId="99" applyFont="1" applyBorder="1" applyAlignment="1" applyProtection="1">
      <alignment horizontal="center" vertical="center"/>
      <protection locked="0"/>
    </xf>
    <xf numFmtId="0" fontId="62" fillId="0" borderId="10" xfId="99" applyBorder="1" applyAlignment="1" applyProtection="1">
      <alignment horizontal="center" vertical="center" wrapText="1"/>
      <protection locked="0"/>
    </xf>
    <xf numFmtId="0" fontId="62" fillId="0" borderId="18" xfId="99" applyBorder="1" applyAlignment="1" applyProtection="1">
      <alignment horizontal="center" vertical="center" wrapText="1"/>
      <protection locked="0"/>
    </xf>
    <xf numFmtId="0" fontId="18" fillId="5" borderId="1" xfId="99" applyFont="1" applyFill="1" applyBorder="1" applyAlignment="1" applyProtection="1">
      <alignment horizontal="center" vertical="center" wrapText="1"/>
      <protection locked="0"/>
    </xf>
    <xf numFmtId="0" fontId="1" fillId="0" borderId="1" xfId="99" applyFont="1" applyBorder="1" applyAlignment="1">
      <alignment horizontal="center" vertical="center" wrapText="1"/>
    </xf>
    <xf numFmtId="0" fontId="18" fillId="0" borderId="32" xfId="99" applyFont="1" applyBorder="1" applyAlignment="1">
      <alignment horizontal="center" vertical="center" wrapText="1"/>
    </xf>
    <xf numFmtId="0" fontId="18" fillId="0" borderId="1" xfId="99" applyFont="1" applyBorder="1" applyAlignment="1" applyProtection="1">
      <alignment horizontal="center" vertical="center" wrapText="1"/>
      <protection locked="0"/>
    </xf>
    <xf numFmtId="0" fontId="18" fillId="0" borderId="32" xfId="99" applyFont="1" applyBorder="1" applyAlignment="1" applyProtection="1">
      <alignment horizontal="center" vertical="center" wrapText="1"/>
      <protection locked="0"/>
    </xf>
    <xf numFmtId="0" fontId="18" fillId="0" borderId="1" xfId="99" applyFont="1" applyBorder="1" applyAlignment="1">
      <alignment horizontal="center" vertical="center" wrapText="1"/>
    </xf>
    <xf numFmtId="0" fontId="0" fillId="0" borderId="0" xfId="0" applyAlignment="1" applyProtection="1">
      <alignment horizontal="left" vertical="center"/>
      <protection locked="0"/>
    </xf>
    <xf numFmtId="0" fontId="1" fillId="5" borderId="9" xfId="99" applyFont="1" applyFill="1" applyBorder="1" applyAlignment="1" applyProtection="1">
      <alignment horizontal="center" vertical="center" wrapText="1"/>
      <protection locked="0"/>
    </xf>
    <xf numFmtId="0" fontId="1" fillId="5" borderId="11" xfId="99" applyFont="1" applyFill="1" applyBorder="1" applyAlignment="1" applyProtection="1">
      <alignment horizontal="center" vertical="center" wrapText="1"/>
      <protection locked="0"/>
    </xf>
    <xf numFmtId="0" fontId="1" fillId="5" borderId="10" xfId="99" applyFont="1" applyFill="1" applyBorder="1" applyAlignment="1" applyProtection="1">
      <alignment horizontal="center" vertical="center" wrapText="1"/>
      <protection locked="0"/>
    </xf>
    <xf numFmtId="0" fontId="1" fillId="5" borderId="18" xfId="99" applyFont="1" applyFill="1" applyBorder="1" applyAlignment="1" applyProtection="1">
      <alignment horizontal="center" vertical="center" wrapText="1"/>
      <protection locked="0"/>
    </xf>
    <xf numFmtId="0" fontId="18" fillId="0" borderId="19" xfId="99" applyFont="1" applyBorder="1" applyAlignment="1" applyProtection="1">
      <alignment horizontal="center" vertical="center" wrapText="1"/>
      <protection locked="0"/>
    </xf>
    <xf numFmtId="0" fontId="18" fillId="0" borderId="20" xfId="99" applyFont="1" applyBorder="1" applyAlignment="1" applyProtection="1">
      <alignment horizontal="center" vertical="center" wrapText="1"/>
      <protection locked="0"/>
    </xf>
    <xf numFmtId="0" fontId="18" fillId="0" borderId="33" xfId="99" applyFont="1" applyBorder="1" applyAlignment="1" applyProtection="1">
      <alignment horizontal="center" vertical="center" wrapText="1"/>
      <protection locked="0"/>
    </xf>
    <xf numFmtId="0" fontId="1" fillId="5" borderId="13" xfId="99" applyFont="1" applyFill="1" applyBorder="1" applyAlignment="1" applyProtection="1">
      <alignment horizontal="center" vertical="center" wrapText="1"/>
      <protection locked="0"/>
    </xf>
    <xf numFmtId="0" fontId="1" fillId="5" borderId="14" xfId="99" applyFont="1" applyFill="1" applyBorder="1" applyAlignment="1" applyProtection="1">
      <alignment horizontal="center" vertical="center" wrapText="1"/>
      <protection locked="0"/>
    </xf>
    <xf numFmtId="0" fontId="1" fillId="5" borderId="15" xfId="99" applyFont="1" applyFill="1" applyBorder="1" applyAlignment="1" applyProtection="1">
      <alignment horizontal="center" vertical="center" wrapText="1"/>
      <protection locked="0"/>
    </xf>
    <xf numFmtId="0" fontId="1" fillId="5" borderId="21" xfId="99" applyFont="1" applyFill="1" applyBorder="1" applyAlignment="1" applyProtection="1">
      <alignment horizontal="center" vertical="center" wrapText="1"/>
      <protection locked="0"/>
    </xf>
    <xf numFmtId="0" fontId="14" fillId="0" borderId="0" xfId="99" applyFont="1" applyAlignment="1">
      <alignment horizontal="center" vertical="center"/>
    </xf>
    <xf numFmtId="0" fontId="7" fillId="0" borderId="0" xfId="99" applyFont="1" applyAlignment="1">
      <alignment horizontal="center" vertical="center" wrapText="1"/>
    </xf>
    <xf numFmtId="0" fontId="7" fillId="0" borderId="0" xfId="99" applyFont="1" applyAlignment="1">
      <alignment horizontal="center" vertical="center"/>
    </xf>
    <xf numFmtId="0" fontId="17" fillId="0" borderId="22" xfId="99" applyFont="1" applyBorder="1" applyAlignment="1" applyProtection="1">
      <alignment horizontal="center" vertical="center" wrapText="1"/>
      <protection locked="0"/>
    </xf>
    <xf numFmtId="0" fontId="17" fillId="0" borderId="23" xfId="99" applyFont="1" applyBorder="1" applyAlignment="1" applyProtection="1">
      <alignment horizontal="center" vertical="center" wrapText="1"/>
      <protection locked="0"/>
    </xf>
    <xf numFmtId="0" fontId="17" fillId="0" borderId="24" xfId="99" applyFont="1" applyBorder="1" applyAlignment="1" applyProtection="1">
      <alignment horizontal="center" vertical="center" wrapText="1"/>
      <protection locked="0"/>
    </xf>
    <xf numFmtId="0" fontId="17" fillId="0" borderId="34" xfId="99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" fillId="0" borderId="16" xfId="99" applyFont="1" applyBorder="1" applyAlignment="1" applyProtection="1">
      <alignment horizontal="center" vertical="center" wrapText="1"/>
      <protection locked="0"/>
    </xf>
    <xf numFmtId="0" fontId="1" fillId="0" borderId="17" xfId="99" applyFont="1" applyBorder="1" applyAlignment="1" applyProtection="1">
      <alignment horizontal="center" vertical="center" wrapText="1"/>
      <protection locked="0"/>
    </xf>
    <xf numFmtId="0" fontId="1" fillId="5" borderId="5" xfId="99" applyFont="1" applyFill="1" applyBorder="1" applyAlignment="1" applyProtection="1">
      <alignment horizontal="center" vertical="center" wrapText="1"/>
      <protection locked="0"/>
    </xf>
    <xf numFmtId="0" fontId="1" fillId="0" borderId="0" xfId="96" applyFont="1" applyAlignment="1">
      <alignment horizontal="center" vertical="center"/>
    </xf>
  </cellXfs>
  <cellStyles count="152">
    <cellStyle name="_LD22-1-7" xfId="29" xr:uid="{00000000-0005-0000-0000-00004D000000}"/>
    <cellStyle name="_LD22-1-7_1" xfId="27" xr:uid="{00000000-0005-0000-0000-00004B000000}"/>
    <cellStyle name="_ST24-1-1钻井工程预算" xfId="8" xr:uid="{00000000-0005-0000-0000-000016000000}"/>
    <cellStyle name="_W11-4D A1 A2 A3钻井工程预算2003-09-29(不可遇见费）" xfId="30" xr:uid="{00000000-0005-0000-0000-00004E000000}"/>
    <cellStyle name="_W12-1-A17b井钻完井时间和费用预算" xfId="31" xr:uid="{00000000-0005-0000-0000-00004F000000}"/>
    <cellStyle name="_wzh11-1-2钻井预算" xfId="23" xr:uid="{00000000-0005-0000-0000-000047000000}"/>
    <cellStyle name="_wzh11-1-2钻井预算0" xfId="25" xr:uid="{00000000-0005-0000-0000-000049000000}"/>
    <cellStyle name="_南堡1-7费用预算(含弃井计划）" xfId="7" xr:uid="{00000000-0005-0000-0000-000014000000}"/>
    <cellStyle name="_钻井预算" xfId="32" xr:uid="{00000000-0005-0000-0000-000050000000}"/>
    <cellStyle name="10/16" xfId="33" xr:uid="{00000000-0005-0000-0000-000051000000}"/>
    <cellStyle name="Comma  - Style1" xfId="13" xr:uid="{00000000-0005-0000-0000-000025000000}"/>
    <cellStyle name="Comma  - Style2" xfId="24" xr:uid="{00000000-0005-0000-0000-000048000000}"/>
    <cellStyle name="Comma  - Style3" xfId="34" xr:uid="{00000000-0005-0000-0000-000052000000}"/>
    <cellStyle name="Comma  - Style4" xfId="35" xr:uid="{00000000-0005-0000-0000-000053000000}"/>
    <cellStyle name="Comma  - Style5" xfId="4" xr:uid="{00000000-0005-0000-0000-00000D000000}"/>
    <cellStyle name="Comma  - Style6" xfId="36" xr:uid="{00000000-0005-0000-0000-000054000000}"/>
    <cellStyle name="Comma  - Style7" xfId="38" xr:uid="{00000000-0005-0000-0000-000056000000}"/>
    <cellStyle name="Comma  - Style8" xfId="39" xr:uid="{00000000-0005-0000-0000-000057000000}"/>
    <cellStyle name="comma-d" xfId="40" xr:uid="{00000000-0005-0000-0000-00005A000000}"/>
    <cellStyle name="DATACOPY" xfId="41" xr:uid="{00000000-0005-0000-0000-00005C000000}"/>
    <cellStyle name="DATAFIELDS" xfId="42" xr:uid="{00000000-0005-0000-0000-00005D000000}"/>
    <cellStyle name="Date" xfId="45" xr:uid="{00000000-0005-0000-0000-000060000000}"/>
    <cellStyle name="F2" xfId="20" xr:uid="{00000000-0005-0000-0000-00003F000000}"/>
    <cellStyle name="F3" xfId="22" xr:uid="{00000000-0005-0000-0000-000044000000}"/>
    <cellStyle name="F4" xfId="46" xr:uid="{00000000-0005-0000-0000-000061000000}"/>
    <cellStyle name="F5" xfId="47" xr:uid="{00000000-0005-0000-0000-000062000000}"/>
    <cellStyle name="F6" xfId="48" xr:uid="{00000000-0005-0000-0000-000063000000}"/>
    <cellStyle name="F7" xfId="49" xr:uid="{00000000-0005-0000-0000-000064000000}"/>
    <cellStyle name="F8" xfId="50" xr:uid="{00000000-0005-0000-0000-000065000000}"/>
    <cellStyle name="Fixed" xfId="51" xr:uid="{00000000-0005-0000-0000-000066000000}"/>
    <cellStyle name="Grey" xfId="52" xr:uid="{00000000-0005-0000-0000-000067000000}"/>
    <cellStyle name="Heading1" xfId="28" xr:uid="{00000000-0005-0000-0000-00004C000000}"/>
    <cellStyle name="Heading2" xfId="53" xr:uid="{00000000-0005-0000-0000-000068000000}"/>
    <cellStyle name="Hyperlink" xfId="2" xr:uid="{00000000-0005-0000-0000-000007000000}"/>
    <cellStyle name="Input [yellow]" xfId="54" xr:uid="{00000000-0005-0000-0000-000069000000}"/>
    <cellStyle name="Invisible" xfId="55" xr:uid="{00000000-0005-0000-0000-00006A000000}"/>
    <cellStyle name="Millares [0]_Well Timing" xfId="56" xr:uid="{00000000-0005-0000-0000-00006B000000}"/>
    <cellStyle name="Millares_Well Timing" xfId="57" xr:uid="{00000000-0005-0000-0000-00006C000000}"/>
    <cellStyle name="Moneda [0]_Well Timing" xfId="59" xr:uid="{00000000-0005-0000-0000-00006E000000}"/>
    <cellStyle name="Moneda_Well Timing" xfId="60" xr:uid="{00000000-0005-0000-0000-00006F000000}"/>
    <cellStyle name="no dec" xfId="62" xr:uid="{00000000-0005-0000-0000-000071000000}"/>
    <cellStyle name="Normal" xfId="0" builtinId="0"/>
    <cellStyle name="Normal - Style1" xfId="63" xr:uid="{00000000-0005-0000-0000-000072000000}"/>
    <cellStyle name="Œ…‹æØ‚è [0.00]_Sheet1" xfId="65" xr:uid="{00000000-0005-0000-0000-000075000000}"/>
    <cellStyle name="Œ…‹æØ‚è_Sheet1" xfId="66" xr:uid="{00000000-0005-0000-0000-000076000000}"/>
    <cellStyle name="Percent [2]" xfId="67" xr:uid="{00000000-0005-0000-0000-000077000000}"/>
    <cellStyle name="PRINTFIELD" xfId="68" xr:uid="{00000000-0005-0000-0000-000079000000}"/>
    <cellStyle name="RowLevel_1" xfId="70" xr:uid="{00000000-0005-0000-0000-00007B000000}"/>
    <cellStyle name="Shaded" xfId="71" xr:uid="{00000000-0005-0000-0000-00007C000000}"/>
    <cellStyle name="Special" xfId="72" xr:uid="{00000000-0005-0000-0000-00007D000000}"/>
    <cellStyle name="Visible" xfId="73" xr:uid="{00000000-0005-0000-0000-00007E000000}"/>
    <cellStyle name="千位[0]_ 4(6)漏失试验" xfId="9" xr:uid="{00000000-0005-0000-0000-00001A000000}"/>
    <cellStyle name="千位_ 4(6)漏失试验" xfId="89" xr:uid="{00000000-0005-0000-0000-00008E000000}"/>
    <cellStyle name="千分位[0]_ 06漏失试验" xfId="146" xr:uid="{00000000-0005-0000-0000-0000C8000000}"/>
    <cellStyle name="千分位_ 06漏失试验" xfId="147" xr:uid="{00000000-0005-0000-0000-0000C9000000}"/>
    <cellStyle name="吾睇開pldt" xfId="148" xr:uid="{00000000-0005-0000-0000-0000CA000000}"/>
    <cellStyle name="好_BZ21-2-1井弃井水泥塞设计" xfId="115" xr:uid="{00000000-0005-0000-0000-0000A9000000}"/>
    <cellStyle name="好_BZ21-2-1井弃井水泥塞设计套管内" xfId="69" xr:uid="{00000000-0005-0000-0000-00007A000000}"/>
    <cellStyle name="好_BZ23-3-1井固井总体设计20130106" xfId="116" xr:uid="{00000000-0005-0000-0000-0000AA000000}"/>
    <cellStyle name="好_BZ25-1-B2井9.625" xfId="117" xr:uid="{00000000-0005-0000-0000-0000AB000000}"/>
    <cellStyle name="好_BZ3-2-P15H井 9(1).625DES油层双封" xfId="118" xr:uid="{00000000-0005-0000-0000-0000AC000000}"/>
    <cellStyle name="好_CFD21-2-2井固井总体设计20121226" xfId="119" xr:uid="{00000000-0005-0000-0000-0000AD000000}"/>
    <cellStyle name="好_JX1-1A41井9.625DES" xfId="121" xr:uid="{00000000-0005-0000-0000-0000AF000000}"/>
    <cellStyle name="好_JX1-1A43井9.625DES" xfId="122" xr:uid="{00000000-0005-0000-0000-0000B0000000}"/>
    <cellStyle name="好_JX1-1-B26井9.625单级双封设计20130330" xfId="61" xr:uid="{00000000-0005-0000-0000-000070000000}"/>
    <cellStyle name="好_JX1-1-B28井固井总体设计20121115" xfId="123" xr:uid="{00000000-0005-0000-0000-0000B1000000}"/>
    <cellStyle name="好_JZ25-1S-A45H 9.625DES" xfId="124" xr:uid="{00000000-0005-0000-0000-0000B2000000}"/>
    <cellStyle name="好_JZ25-1S-A50 9.625DES" xfId="15" xr:uid="{00000000-0005-0000-0000-00002B000000}"/>
    <cellStyle name="好_JZ25-1S-A50 9.625DES_BZ25-1-B2井9.625" xfId="125" xr:uid="{00000000-0005-0000-0000-0000B3000000}"/>
    <cellStyle name="好_JZ9-3-A14 固井设计" xfId="126" xr:uid="{00000000-0005-0000-0000-0000B4000000}"/>
    <cellStyle name="好_LD32-2-A10h单级固井设计及报告" xfId="127" xr:uid="{00000000-0005-0000-0000-0000B5000000}"/>
    <cellStyle name="好_PL9-1-16 9.625单级双封固井设计及报告" xfId="128" xr:uid="{00000000-0005-0000-0000-0000B6000000}"/>
    <cellStyle name="好_SZ29-3-1井固井总体设计2012-2-28" xfId="129" xr:uid="{00000000-0005-0000-0000-0000B7000000}"/>
    <cellStyle name="好_SZ36-1C36H井9.625DES" xfId="130" xr:uid="{00000000-0005-0000-0000-0000B8000000}"/>
    <cellStyle name="好_SZ36-1-E41h井" xfId="131" xr:uid="{00000000-0005-0000-0000-0000B9000000}"/>
    <cellStyle name="好_SZ36-1-E44H井9.625DES" xfId="14" xr:uid="{00000000-0005-0000-0000-000029000000}"/>
    <cellStyle name="好_TWT-C5_9.625design双封" xfId="132" xr:uid="{00000000-0005-0000-0000-0000BA000000}"/>
    <cellStyle name="好_作业确认单" xfId="134" xr:uid="{00000000-0005-0000-0000-0000BC000000}"/>
    <cellStyle name="好_弃井方案" xfId="133" xr:uid="{00000000-0005-0000-0000-0000BB000000}"/>
    <cellStyle name="差_BZ21-2-1井弃井水泥塞设计" xfId="76" xr:uid="{00000000-0005-0000-0000-000081000000}"/>
    <cellStyle name="差_BZ21-2-1井弃井水泥塞设计套管内" xfId="26" xr:uid="{00000000-0005-0000-0000-00004A000000}"/>
    <cellStyle name="差_BZ23-3-1井固井总体设计20130106" xfId="37" xr:uid="{00000000-0005-0000-0000-000055000000}"/>
    <cellStyle name="差_BZ25-1-B2井9.625" xfId="77" xr:uid="{00000000-0005-0000-0000-000082000000}"/>
    <cellStyle name="差_BZ3-2-P15H井 9(1).625DES油层双封" xfId="78" xr:uid="{00000000-0005-0000-0000-000083000000}"/>
    <cellStyle name="差_CFD21-2-2井固井总体设计20121226" xfId="79" xr:uid="{00000000-0005-0000-0000-000084000000}"/>
    <cellStyle name="差_JX1-1A41井9.625DES" xfId="80" xr:uid="{00000000-0005-0000-0000-000085000000}"/>
    <cellStyle name="差_JX1-1A43井9.625DES" xfId="81" xr:uid="{00000000-0005-0000-0000-000086000000}"/>
    <cellStyle name="差_JX1-1-B26井9.625单级双封设计20130330" xfId="82" xr:uid="{00000000-0005-0000-0000-000087000000}"/>
    <cellStyle name="差_JX1-1-B28井固井总体设计20121115" xfId="64" xr:uid="{00000000-0005-0000-0000-000073000000}"/>
    <cellStyle name="差_JZ25-1S-A45H 9.625DES" xfId="83" xr:uid="{00000000-0005-0000-0000-000088000000}"/>
    <cellStyle name="差_JZ25-1S-A50 9.625DES" xfId="84" xr:uid="{00000000-0005-0000-0000-000089000000}"/>
    <cellStyle name="差_JZ25-1S-A50 9.625DES_BZ25-1-B2井9.625" xfId="86" xr:uid="{00000000-0005-0000-0000-00008B000000}"/>
    <cellStyle name="差_JZ9-3-A14 固井设计" xfId="87" xr:uid="{00000000-0005-0000-0000-00008C000000}"/>
    <cellStyle name="差_LD32-2-A10h单级固井设计及报告" xfId="18" xr:uid="{00000000-0005-0000-0000-000036000000}"/>
    <cellStyle name="差_PL9-1-16 9.625单级双封固井设计及报告" xfId="88" xr:uid="{00000000-0005-0000-0000-00008D000000}"/>
    <cellStyle name="差_SZ29-3-1井固井总体设计2012-2-28" xfId="90" xr:uid="{00000000-0005-0000-0000-00008F000000}"/>
    <cellStyle name="差_SZ36-1C36H井9.625DES" xfId="91" xr:uid="{00000000-0005-0000-0000-000090000000}"/>
    <cellStyle name="差_SZ36-1-E41h井" xfId="92" xr:uid="{00000000-0005-0000-0000-000091000000}"/>
    <cellStyle name="差_SZ36-1-E44H井9.625DES" xfId="93" xr:uid="{00000000-0005-0000-0000-000092000000}"/>
    <cellStyle name="差_TWT-C5_9.625design双封" xfId="94" xr:uid="{00000000-0005-0000-0000-000093000000}"/>
    <cellStyle name="差_作业确认单" xfId="16" xr:uid="{00000000-0005-0000-0000-00002D000000}"/>
    <cellStyle name="差_弃井方案" xfId="95" xr:uid="{00000000-0005-0000-0000-000094000000}"/>
    <cellStyle name="常规 10" xfId="96" xr:uid="{00000000-0005-0000-0000-000095000000}"/>
    <cellStyle name="常规 12" xfId="151" xr:uid="{00000000-0005-0000-0000-0000CD000000}"/>
    <cellStyle name="常规 2" xfId="97" xr:uid="{00000000-0005-0000-0000-000096000000}"/>
    <cellStyle name="常规 2 2" xfId="98" xr:uid="{00000000-0005-0000-0000-000097000000}"/>
    <cellStyle name="常规 2 3" xfId="99" xr:uid="{00000000-0005-0000-0000-000098000000}"/>
    <cellStyle name="常规 2 3 2" xfId="150" xr:uid="{00000000-0005-0000-0000-0000CC000000}"/>
    <cellStyle name="常规 2 4" xfId="100" xr:uid="{00000000-0005-0000-0000-000099000000}"/>
    <cellStyle name="常规 2 5" xfId="101" xr:uid="{00000000-0005-0000-0000-00009A000000}"/>
    <cellStyle name="常规 2_BZ23-3-1井固井总体设计20130106" xfId="102" xr:uid="{00000000-0005-0000-0000-00009B000000}"/>
    <cellStyle name="常规 3" xfId="58" xr:uid="{00000000-0005-0000-0000-00006D000000}"/>
    <cellStyle name="常规 3 2" xfId="103" xr:uid="{00000000-0005-0000-0000-00009C000000}"/>
    <cellStyle name="常规 4" xfId="104" xr:uid="{00000000-0005-0000-0000-00009D000000}"/>
    <cellStyle name="常规 5" xfId="105" xr:uid="{00000000-0005-0000-0000-00009E000000}"/>
    <cellStyle name="常规 6" xfId="6" xr:uid="{00000000-0005-0000-0000-000013000000}"/>
    <cellStyle name="常规 6 2" xfId="106" xr:uid="{00000000-0005-0000-0000-00009F000000}"/>
    <cellStyle name="常规 7" xfId="108" xr:uid="{00000000-0005-0000-0000-0000A1000000}"/>
    <cellStyle name="常规 8" xfId="109" xr:uid="{00000000-0005-0000-0000-0000A2000000}"/>
    <cellStyle name="常规 9" xfId="110" xr:uid="{00000000-0005-0000-0000-0000A3000000}"/>
    <cellStyle name="常规_A28回填水泥塞 2" xfId="111" xr:uid="{00000000-0005-0000-0000-0000A4000000}"/>
    <cellStyle name="常规_LD27-2-7WELL13DES 2" xfId="112" xr:uid="{00000000-0005-0000-0000-0000A5000000}"/>
    <cellStyle name="常规_NP1-6泥浆收费单格式" xfId="113" xr:uid="{00000000-0005-0000-0000-0000A6000000}"/>
    <cellStyle name="常规_作业简报(2011.3.19) 2" xfId="1" xr:uid="{00000000-0005-0000-0000-000006000000}"/>
    <cellStyle name="普通_09钻具组合" xfId="136" xr:uid="{00000000-0005-0000-0000-0000BE000000}"/>
    <cellStyle name="普通-00井史封面" xfId="137" xr:uid="{00000000-0005-0000-0000-0000BF000000}"/>
    <cellStyle name="普通-00井史目录" xfId="107" xr:uid="{00000000-0005-0000-0000-0000A0000000}"/>
    <cellStyle name="普通-01井史概述" xfId="138" xr:uid="{00000000-0005-0000-0000-0000C0000000}"/>
    <cellStyle name="普通-02井况数据" xfId="139" xr:uid="{00000000-0005-0000-0000-0000C1000000}"/>
    <cellStyle name="普通-03锚泊定位" xfId="17" xr:uid="{00000000-0005-0000-0000-000035000000}"/>
    <cellStyle name="普通-04井口装置" xfId="120" xr:uid="{00000000-0005-0000-0000-0000AE000000}"/>
    <cellStyle name="普通-06地层描述" xfId="140" xr:uid="{00000000-0005-0000-0000-0000C2000000}"/>
    <cellStyle name="普通-07钻井井身" xfId="141" xr:uid="{00000000-0005-0000-0000-0000C3000000}"/>
    <cellStyle name="普通-08弃井井身" xfId="11" xr:uid="{00000000-0005-0000-0000-00001F000000}"/>
    <cellStyle name="普通-09钻具组合" xfId="142" xr:uid="{00000000-0005-0000-0000-0000C4000000}"/>
    <cellStyle name="普通-10钻头记录" xfId="5" xr:uid="{00000000-0005-0000-0000-000012000000}"/>
    <cellStyle name="普通-11取芯记录" xfId="143" xr:uid="{00000000-0005-0000-0000-0000C5000000}"/>
    <cellStyle name="普通-12套管记录" xfId="144" xr:uid="{00000000-0005-0000-0000-0000C6000000}"/>
    <cellStyle name="普通-13固井水泥" xfId="19" xr:uid="{00000000-0005-0000-0000-00003B000000}"/>
    <cellStyle name="普通-14固井质量" xfId="145" xr:uid="{00000000-0005-0000-0000-0000C7000000}"/>
    <cellStyle name="样式 1" xfId="149" xr:uid="{00000000-0005-0000-0000-0000CB000000}"/>
    <cellStyle name="澡磬眈钼 [0]_pldt" xfId="43" xr:uid="{00000000-0005-0000-0000-00005E000000}"/>
    <cellStyle name="澡磬眈钼_pldt" xfId="85" xr:uid="{00000000-0005-0000-0000-00008A000000}"/>
    <cellStyle name="百分比 2" xfId="74" xr:uid="{00000000-0005-0000-0000-00007F000000}"/>
    <cellStyle name="百分比 3" xfId="75" xr:uid="{00000000-0005-0000-0000-000080000000}"/>
    <cellStyle name="百分比 4" xfId="10" xr:uid="{00000000-0005-0000-0000-00001D000000}"/>
    <cellStyle name="百分比 5" xfId="12" xr:uid="{00000000-0005-0000-0000-000020000000}"/>
    <cellStyle name="腻礤骓 [0]_pldt" xfId="21" xr:uid="{00000000-0005-0000-0000-000042000000}"/>
    <cellStyle name="腻礤骓_pldt" xfId="135" xr:uid="{00000000-0005-0000-0000-0000BD000000}"/>
    <cellStyle name="货币 2" xfId="44" xr:uid="{00000000-0005-0000-0000-00005F000000}"/>
    <cellStyle name="超链接 2" xfId="114" xr:uid="{00000000-0005-0000-0000-0000A8000000}"/>
    <cellStyle name="䅀" xfId="3" xr:uid="{00000000-0005-0000-0000-00000C000000}"/>
  </cellStyles>
  <dxfs count="0"/>
  <tableStyles count="0" defaultTableStyle="TableStyleMedium2" defaultPivotStyle="PivotStyleLight16"/>
  <colors>
    <mruColors>
      <color rgb="FFFFFF00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4037;&#20316;&#30830;&#35748;&#21333;/C14&#20117;/BZ34-1N-E/my%20documents/workfile/&#25506;&#20117;&#29616;&#22330;&#25991;&#20214;/2010/CFD14-1S-1/BZ21-2-1/EXCEL5/QK179/J12&#2010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Z34-1N-E6H/&#35774;&#35745;&#21644;&#26041;&#26696;/my%20documents/workfile/&#25506;&#20117;&#29616;&#22330;&#25991;&#20214;/2010/CFD14-1S-1/BZ21-2-1/EXCEL5/QK179/J12&#20108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CDRILL7000\&#20844;&#29992;&#30446;&#24405;\BoHai-05\Jz9-3&#35199;&#24179;&#21488;&#23436;&#20117;&#25253;&#21578;\W8-6\&#38075;&#20117;&#24037;&#31243;&#25968;&#25454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mhw/AppData/Local/Microsoft/Windows/Temporary%20Internet%20Files/Content.Outlook/ZB4W2XXX/RecoveredExternalLink1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CDRILL7000\&#20844;&#29992;&#30446;&#24405;\BoHai-05\Jz9-3&#35199;&#24179;&#21488;&#23436;&#20117;&#25253;&#21578;\W8-6\&#35797;&#27833;&#35760;&#24405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mhw/AppData/Local/Microsoft/Windows/Temporary%20Internet%20Files/Content.Outlook/ZB4W2XXX/RecoveredExternalLink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4037;&#20316;&#30830;&#35748;&#21333;/C14&#20117;/BZ34-1N-E/my%20documents/workfile/&#25506;&#20117;&#29616;&#22330;&#25991;&#20214;/2010/CFD14-1S-1/BZ21-2-1/works/BZ313D/&#31532;&#20116;&#33410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BZ34-1N-E6H/&#35774;&#35745;&#21644;&#26041;&#26696;/my%20documents/workfile/&#25506;&#20117;&#29616;&#22330;&#25991;&#20214;/2010/CFD14-1S-1/BZ21-2-1/works/BZ313D/&#31532;&#20116;&#33410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zjwm9\Nansen%20-%20EB%20602\Zsws3\SteveS\user\XL\GB668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mhw/AppData/Local/Microsoft/Windows/Temporary%20Internet%20Files/Content.Outlook/ZB4W2XXX/RecoveredExternalLink3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Zsws3\SteveS\user\XL\GB668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mhw/AppData/Local/Microsoft/Windows/Temporary%20Internet%20Files/Content.Outlook/ZB4W2XXX/RecoveredExternalLink4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4037;&#20316;&#30830;&#35748;&#21333;/C14&#20117;/BZ34-1N-E/my%20documents/workfile/&#25506;&#20117;&#29616;&#22330;&#25991;&#20214;/2010/CFD14-1S-1/BZ21-2-1/&#26053;&#22823;10-1-1/&#26085;&#25253;&#21450;&#23436;&#20117;&#25253;&#21578;/&#20844;&#29992;&#25991;&#20214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BZ34-1N-E6H/&#35774;&#35745;&#21644;&#26041;&#26696;/my%20documents/workfile/&#25506;&#20117;&#29616;&#22330;&#25991;&#20214;/2010/CFD14-1S-1/BZ21-2-1/&#26053;&#22823;10-1-1/&#26085;&#25253;&#21450;&#23436;&#20117;&#25253;&#21578;/&#20844;&#29992;&#25991;&#20214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zjwm9\Nansen%20-%20EB%20602\Zsws3\SteveS\user\XL\Well_File_Example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nmhw/AppData/Local/Microsoft/Windows/Temporary%20Internet%20Files/Content.Outlook/ZB4W2XXX/RecoveredExternalLink5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4037;&#20316;&#30830;&#35748;&#21333;/C14&#20117;/BZ34-1N-E/my%20documents/workfile/&#25506;&#20117;&#29616;&#22330;&#25991;&#20214;/2010/CFD14-1S-1/BZ21-2-1/&#26053;&#22823;10-1-1/&#26085;&#25253;&#21450;&#23436;&#20117;&#25253;&#21578;/&#26085;&#25253;/&#26085;&#25253;&#34920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BZ34-1N-E6H/&#35774;&#35745;&#21644;&#26041;&#26696;/my%20documents/workfile/&#25506;&#20117;&#29616;&#22330;&#25991;&#20214;/2010/CFD14-1S-1/BZ21-2-1/&#26053;&#22823;10-1-1/&#26085;&#25253;&#21450;&#23436;&#20117;&#25253;&#21578;/&#26085;&#25253;/&#26085;&#25253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钻井日报表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钻井日报表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钻头"/>
      <sheetName val="钻具组合"/>
      <sheetName val="分段泥浆"/>
      <sheetName val="每日泥浆"/>
      <sheetName val="泥浆材料"/>
      <sheetName val="定向井"/>
      <sheetName val="测斜"/>
      <sheetName val="井眼轨迹"/>
      <sheetName val="取心"/>
      <sheetName val="地漏"/>
      <sheetName val="套管数据"/>
      <sheetName val="固井"/>
      <sheetName val="水泥塞"/>
      <sheetName val="挤水泥"/>
      <sheetName val="套管13-3"/>
      <sheetName val="套管9-5"/>
      <sheetName val="试压"/>
      <sheetName val="井径"/>
      <sheetName val="地层P-T"/>
      <sheetName val="井漏记录"/>
      <sheetName val="工程事故"/>
      <sheetName val="试油成果"/>
      <sheetName val="xxxxxx"/>
      <sheetName val="general"/>
      <sheetName val="BHA"/>
      <sheetName val="12(762mm)套管"/>
      <sheetName val="Days.干井"/>
      <sheetName val="Option Summary"/>
      <sheetName val="钻井日报表"/>
      <sheetName val="试油成果记录"/>
      <sheetName val="CSG13"/>
      <sheetName val="井口装置示意图-4"/>
      <sheetName val="进度曲线"/>
      <sheetName val="CSpreadSheetBackup"/>
      <sheetName val="Tubing"/>
      <sheetName val="1-8月利润中心指向设计的建造科研项目成本明细"/>
      <sheetName val="Master"/>
      <sheetName val="基础数据表三"/>
      <sheetName val="Calculations"/>
      <sheetName val="Reg_Sum"/>
      <sheetName val="结果对比"/>
      <sheetName val="Sheet Status and Currency"/>
      <sheetName val="Option 1"/>
      <sheetName val="Option 2"/>
      <sheetName val="Option 3"/>
      <sheetName val="Option 4"/>
      <sheetName val="评价基础数据表一"/>
      <sheetName val="固定资产投资估算计算表"/>
      <sheetName val="投资计划与资金筹措表"/>
      <sheetName val="井组成"/>
      <sheetName val="分离油单脱U2"/>
      <sheetName val="BS8(5.95)CVE"/>
      <sheetName val="oil"/>
      <sheetName val="NTS"/>
      <sheetName val="#REF!"/>
      <sheetName val="_MDT data_LD27-2-2"/>
      <sheetName val="调整"/>
      <sheetName val="APD"/>
      <sheetName val="借款还本付息估算表"/>
      <sheetName val="生产成本和费用表"/>
      <sheetName val="评价基础数据表二"/>
      <sheetName val="固定资产投资估算表"/>
      <sheetName val="销售收入与销售税金及附加计算表"/>
      <sheetName val="销售收入与销售税金及附加明细表"/>
      <sheetName val="SaveData"/>
      <sheetName val="损益表"/>
      <sheetName val="钻井(调整)"/>
      <sheetName val="P&amp;F"/>
      <sheetName val="Lists"/>
      <sheetName val="COMMON"/>
      <sheetName val="FPSO"/>
      <sheetName val="MARINE"/>
      <sheetName val="CaculatedPI"/>
      <sheetName val="2.x  DST No.1 Cover"/>
      <sheetName val="Front Page"/>
      <sheetName val="GSR Adj."/>
      <sheetName val="康菲合同价格表"/>
      <sheetName val="Definition"/>
      <sheetName val="Run Shee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钻头"/>
      <sheetName val="钻具组合"/>
      <sheetName val="分段泥浆"/>
      <sheetName val="每日泥浆"/>
      <sheetName val="泥浆材料"/>
      <sheetName val="定向井"/>
      <sheetName val="测斜"/>
      <sheetName val="井眼轨迹"/>
      <sheetName val="取心"/>
      <sheetName val="地漏"/>
      <sheetName val="套管数据"/>
      <sheetName val="固井"/>
      <sheetName val="水泥塞"/>
      <sheetName val="挤水泥"/>
      <sheetName val="套管13-3"/>
      <sheetName val="套管9-5"/>
      <sheetName val="试压"/>
      <sheetName val="井径"/>
      <sheetName val="地层P-T"/>
      <sheetName val="井漏记录"/>
      <sheetName val="工程事故"/>
      <sheetName val="试油成果"/>
      <sheetName val="xxxxxx"/>
      <sheetName val="general"/>
      <sheetName val="BHA"/>
      <sheetName val="12(762mm)套管"/>
      <sheetName val="Days.干井"/>
      <sheetName val="Option Summary"/>
      <sheetName val="钻井日报表"/>
      <sheetName val="试油成果记录"/>
      <sheetName val="CSG13"/>
      <sheetName val="井口装置示意图-4"/>
      <sheetName val="进度曲线"/>
      <sheetName val="CSpreadSheetBackup"/>
      <sheetName val="Tubing"/>
      <sheetName val="1-8月利润中心指向设计的建造科研项目成本明细"/>
      <sheetName val="Master"/>
      <sheetName val="Reg_Sum"/>
      <sheetName val="结果对比"/>
      <sheetName val="Sheet Status and Currency"/>
      <sheetName val="Option 1"/>
      <sheetName val="Option 2"/>
      <sheetName val="Option 3"/>
      <sheetName val="Option 4"/>
      <sheetName val="评价基础数据表一"/>
      <sheetName val="固定资产投资估算计算表"/>
      <sheetName val="投资计划与资金筹措表"/>
      <sheetName val="Calculations"/>
      <sheetName val="基础数据表三"/>
      <sheetName val="井组成"/>
      <sheetName val="分离油单脱U2"/>
      <sheetName val="BS8(5.95)CVE"/>
      <sheetName val="oil"/>
      <sheetName val="设计封面"/>
      <sheetName val="尾管固井设计"/>
      <sheetName val="压力计算"/>
      <sheetName val="尾管钻台程序"/>
      <sheetName val="施工程序"/>
      <sheetName val="施工报告 "/>
      <sheetName val="作业确认单"/>
      <sheetName val="评价表"/>
      <sheetName val="设计"/>
      <sheetName val="95压力计算"/>
      <sheetName val="钻台程序"/>
      <sheetName val="施工报告"/>
      <sheetName val=" 消耗单"/>
      <sheetName val="固井施工质量评价表"/>
      <sheetName val="工作确认书"/>
      <sheetName val="注册及代码表"/>
      <sheetName val="#REF!"/>
      <sheetName val="作业进度(WET.TANG)"/>
      <sheetName val="作业进度(油井)时间"/>
      <sheetName val="作业进度(干井)时间"/>
      <sheetName val="作业进度(油井)"/>
      <sheetName val="作业进度(干井)"/>
      <sheetName val="钻井工程AFE"/>
      <sheetName val="试油工程AFE"/>
      <sheetName val="Budget"/>
      <sheetName val="Summary"/>
      <sheetName val="工程费用结算表"/>
      <sheetName val="成本计算"/>
      <sheetName val="NewAccount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试油成果记录"/>
      <sheetName val="_MDT data_LD27-2-2"/>
      <sheetName val="试压"/>
      <sheetName val="钻井日报表"/>
      <sheetName val="调整"/>
      <sheetName val="岭头19-1"/>
      <sheetName val="CSG13"/>
      <sheetName val="_MDT_data_LD27-2-2"/>
      <sheetName val="钻井(调整)"/>
      <sheetName val="C101"/>
      <sheetName val="资产负债表"/>
      <sheetName val="Financial Statements"/>
      <sheetName val="12(762mm)套管"/>
      <sheetName val="details"/>
      <sheetName val="Tally"/>
      <sheetName val="进度曲线"/>
      <sheetName val="井口装置示意图-4"/>
      <sheetName val="船舶单价"/>
      <sheetName val="海工公司施工设备价格调整"/>
      <sheetName val="A1计"/>
      <sheetName val="结果对比"/>
      <sheetName val="APD"/>
      <sheetName val="2.x  DST No.1 Cover"/>
      <sheetName val="oil"/>
      <sheetName val="CSpreadSheetBackup"/>
      <sheetName val="Sheet Status and Currency"/>
      <sheetName val="Option 1"/>
      <sheetName val="Option 2"/>
      <sheetName val="Option 3"/>
      <sheetName val="Option 4"/>
      <sheetName val="Information"/>
      <sheetName val="P"/>
      <sheetName val="CRITERIA1"/>
      <sheetName val="Days.干井"/>
      <sheetName val="地层参数"/>
      <sheetName val="评价基础数据表一"/>
      <sheetName val="固定资产投资估算表"/>
      <sheetName val="投资计划与资金筹措表"/>
      <sheetName val="SaveData"/>
      <sheetName val="Reg_Sum"/>
      <sheetName val="放鹤亭"/>
      <sheetName val="借款还本付息估算表"/>
      <sheetName val="生产成本和费用表"/>
      <sheetName val="评价基础数据表二"/>
      <sheetName val="固定资产投资估算计算表"/>
      <sheetName val="销售收入与销售税金及附加计算表"/>
      <sheetName val="销售收入与销售税金及附加明细表"/>
      <sheetName val="损益表"/>
      <sheetName val="财务现金流量表(全部投资)"/>
      <sheetName val="财务现金流量表(自有资金)"/>
      <sheetName val="#REF!"/>
      <sheetName val="Wire Codes"/>
      <sheetName val="U110"/>
      <sheetName val="C1"/>
      <sheetName val="Data"/>
      <sheetName val="分析性复核-PL"/>
      <sheetName val="NTS"/>
      <sheetName val="基础数据表三"/>
      <sheetName val="试油记录"/>
      <sheetName val="incomestatement"/>
      <sheetName val="井组成"/>
      <sheetName val="分离油单脱U2"/>
      <sheetName val="BS8(5.95)CVE"/>
      <sheetName val="CaculatedPI"/>
      <sheetName val="INFO"/>
      <sheetName val="6.8 (2)"/>
      <sheetName val="天然气物性计算-垂直段流压"/>
      <sheetName val="MATERIALS"/>
      <sheetName val="DATA MASTER"/>
      <sheetName val="using rjs409 progress data"/>
      <sheetName val="내역"/>
      <sheetName val="General Report"/>
      <sheetName val="基础数据表一"/>
      <sheetName val="操作费明细表"/>
      <sheetName val="流动资金估算表"/>
      <sheetName val="敏感性分析表"/>
      <sheetName val="项目信息表"/>
      <sheetName val="crewbos"/>
      <sheetName val="inputs"/>
      <sheetName val="外径与公称直径对照表"/>
      <sheetName val="2002年阀门主材费及安装"/>
      <sheetName val="1.1.0.2节点运算表(不能用)"/>
      <sheetName val="Run"/>
      <sheetName val="Run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试油成果记录"/>
      <sheetName val="_MDT data_LD27-2-2"/>
      <sheetName val="试压"/>
      <sheetName val="钻井日报表"/>
      <sheetName val="调整"/>
      <sheetName val="岭头19-1"/>
      <sheetName val="CSG13"/>
      <sheetName val="_MDT_data_LD27-2-2"/>
      <sheetName val="钻井(调整)"/>
      <sheetName val="C101"/>
      <sheetName val="资产负债表"/>
      <sheetName val="Financial Statements"/>
      <sheetName val="12(762mm)套管"/>
      <sheetName val="details"/>
      <sheetName val="Tally"/>
      <sheetName val="进度曲线"/>
      <sheetName val="井口装置示意图-4"/>
      <sheetName val="船舶单价"/>
      <sheetName val="海工公司施工设备价格调整"/>
      <sheetName val="A1计"/>
      <sheetName val="结果对比"/>
      <sheetName val="APD"/>
      <sheetName val="2.x  DST No.1 Cover"/>
      <sheetName val="oil"/>
      <sheetName val="CSpreadSheetBackup"/>
      <sheetName val="Sheet Status and Currency"/>
      <sheetName val="Option 1"/>
      <sheetName val="Option 2"/>
      <sheetName val="Option 3"/>
      <sheetName val="Option 4"/>
      <sheetName val="Information"/>
      <sheetName val="P"/>
      <sheetName val="CRITERIA1"/>
      <sheetName val="Days.干井"/>
      <sheetName val="地层参数"/>
      <sheetName val="评价基础数据表一"/>
      <sheetName val="固定资产投资估算表"/>
      <sheetName val="投资计划与资金筹措表"/>
      <sheetName val="SaveData"/>
      <sheetName val="Reg_Sum"/>
      <sheetName val="放鹤亭"/>
      <sheetName val="借款还本付息估算表"/>
      <sheetName val="生产成本和费用表"/>
      <sheetName val="评价基础数据表二"/>
      <sheetName val="固定资产投资估算计算表"/>
      <sheetName val="销售收入与销售税金及附加计算表"/>
      <sheetName val="销售收入与销售税金及附加明细表"/>
      <sheetName val="损益表"/>
      <sheetName val="财务现金流量表(全部投资)"/>
      <sheetName val="财务现金流量表(自有资金)"/>
      <sheetName val="laroux"/>
      <sheetName val="钻头"/>
      <sheetName val="钻具组合"/>
      <sheetName val="分段泥浆"/>
      <sheetName val="每日泥浆"/>
      <sheetName val="泥浆材料"/>
      <sheetName val="定向井"/>
      <sheetName val="测斜"/>
      <sheetName val="井眼轨迹"/>
      <sheetName val="取心"/>
      <sheetName val="地漏"/>
      <sheetName val="套管数据"/>
      <sheetName val="固井"/>
      <sheetName val="水泥塞"/>
      <sheetName val="挤水泥"/>
      <sheetName val="套管13-3"/>
      <sheetName val="套管9-5"/>
      <sheetName val="井径"/>
      <sheetName val="地层P-T"/>
      <sheetName val="井漏记录"/>
      <sheetName val="工程事故"/>
      <sheetName val="试油成果"/>
      <sheetName val="xxxxxx"/>
      <sheetName val="general"/>
      <sheetName val="BHA"/>
      <sheetName val="Option Summary"/>
      <sheetName val="1-8月利润中心指向设计的建造科研项目成本明细"/>
      <sheetName val="Master"/>
      <sheetName val="基础数据表三"/>
      <sheetName val="Tubing"/>
      <sheetName val="#REF!"/>
      <sheetName val="Wire Codes"/>
      <sheetName val="U110"/>
      <sheetName val="C1"/>
      <sheetName val="康菲合同价格表"/>
      <sheetName val="On Boat Cementing Service"/>
      <sheetName val="常规作业收费模板 (加井下工具)"/>
      <sheetName val="常规作业收费模板"/>
      <sheetName val="井下工具作业收费模板"/>
      <sheetName val="拖轮固井 收费模板"/>
      <sheetName val=" 纯水泥作业收费模板"/>
      <sheetName val="常规作业确认单模板"/>
      <sheetName val="拖轮固井 作业确认单模板"/>
      <sheetName val=" 纯水泥作业确认单模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工程总结"/>
      <sheetName val="井口装置示意图-1"/>
      <sheetName val="井口装置示意图-2"/>
      <sheetName val="井口装置示意图-3"/>
      <sheetName val="井口装置示意图-4"/>
      <sheetName val="井口装置示意图-2 (2)"/>
      <sheetName val="井口装置示意图-3 (2)"/>
      <sheetName val="井口装置示意图-3 (3)"/>
      <sheetName val="钻井日报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工程总结"/>
      <sheetName val="井口装置示意图-1"/>
      <sheetName val="井口装置示意图-2"/>
      <sheetName val="井口装置示意图-3"/>
      <sheetName val="井口装置示意图-4"/>
      <sheetName val="井口装置示意图-2 (2)"/>
      <sheetName val="井口装置示意图-3 (2)"/>
      <sheetName val="井口装置示意图-3 (3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 Form"/>
      <sheetName val="Cost Estimate"/>
      <sheetName val="APD"/>
      <sheetName val="PPFG (2)"/>
      <sheetName val="PPFG"/>
      <sheetName val="668 #1 CURVES"/>
      <sheetName val="AREA CURVES"/>
      <sheetName val="CMT $"/>
      <sheetName val="LOGCOST1"/>
      <sheetName val="LOT_PIT"/>
      <sheetName val="LOG TEMPS"/>
      <sheetName val="AREA PPG"/>
      <sheetName val="MRI Calc's"/>
      <sheetName val="MUD CHK"/>
      <sheetName val="DRLG SUM"/>
      <sheetName val="AREA MUD WT"/>
      <sheetName val="FRAC EST"/>
      <sheetName val="OFFSTICKS"/>
      <sheetName val="WELLPLANOUTLINE"/>
      <sheetName val="井身结构"/>
      <sheetName val="7&quot;csg"/>
      <sheetName val="工具准备"/>
      <sheetName val="添加剂计划"/>
      <sheetName val="费用预算"/>
      <sheetName val="井口装置示意图-4"/>
      <sheetName val="12(762mm)套管"/>
      <sheetName val="Calculations"/>
      <sheetName val="试压"/>
      <sheetName val="钻井(调整)"/>
      <sheetName val="钻进BHA"/>
      <sheetName val="BHCT"/>
      <sheetName val="#REF!"/>
      <sheetName val="Chemreq"/>
      <sheetName val="Lists"/>
      <sheetName val="进度曲线"/>
      <sheetName val="Days.干井"/>
      <sheetName val="COVER SHEET-1"/>
      <sheetName val="TOP COVER"/>
      <sheetName val="钻井日报表"/>
      <sheetName val="岭头19-1"/>
      <sheetName val="Tally"/>
      <sheetName val="COVER SHEET"/>
      <sheetName val="试油成果记录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 Form"/>
      <sheetName val="Cost Estimate"/>
      <sheetName val="APD"/>
      <sheetName val="PPFG (2)"/>
      <sheetName val="PPFG"/>
      <sheetName val="668 #1 CURVES"/>
      <sheetName val="AREA CURVES"/>
      <sheetName val="CMT $"/>
      <sheetName val="LOGCOST1"/>
      <sheetName val="LOT_PIT"/>
      <sheetName val="LOG TEMPS"/>
      <sheetName val="AREA PPG"/>
      <sheetName val="MRI Calc's"/>
      <sheetName val="MUD CHK"/>
      <sheetName val="DRLG SUM"/>
      <sheetName val="AREA MUD WT"/>
      <sheetName val="FRAC EST"/>
      <sheetName val="OFFSTICKS"/>
      <sheetName val="WELLPLANOUTLINE"/>
      <sheetName val="井身结构"/>
      <sheetName val="7&quot;csg"/>
      <sheetName val="工具准备"/>
      <sheetName val="添加剂计划"/>
      <sheetName val="费用预算"/>
      <sheetName val="试油成果记录"/>
      <sheetName val="_MDT data_LD27-2-2"/>
      <sheetName val="试压"/>
      <sheetName val="钻井日报表"/>
      <sheetName val="调整"/>
      <sheetName val="岭头19-1"/>
      <sheetName val="钻井(调整)"/>
      <sheetName val="CSG13"/>
      <sheetName val="_MDT_data_LD27-2-2"/>
      <sheetName val="C101"/>
      <sheetName val="资产负债表"/>
      <sheetName val="Financial Statements"/>
      <sheetName val="12(762mm)套管"/>
      <sheetName val="details"/>
      <sheetName val="Tally"/>
      <sheetName val="进度曲线"/>
      <sheetName val="井口装置示意图-4"/>
      <sheetName val="船舶单价"/>
      <sheetName val="海工公司施工设备价格调整"/>
      <sheetName val="A1计"/>
      <sheetName val="结果对比"/>
      <sheetName val="2.x  DST No.1 Cover"/>
      <sheetName val="laroux"/>
      <sheetName val="钻头"/>
      <sheetName val="钻具组合"/>
      <sheetName val="分段泥浆"/>
      <sheetName val="每日泥浆"/>
      <sheetName val="泥浆材料"/>
      <sheetName val="定向井"/>
      <sheetName val="测斜"/>
      <sheetName val="井眼轨迹"/>
      <sheetName val="取心"/>
      <sheetName val="地漏"/>
      <sheetName val="套管数据"/>
      <sheetName val="固井"/>
      <sheetName val="水泥塞"/>
      <sheetName val="挤水泥"/>
      <sheetName val="套管13-3"/>
      <sheetName val="套管9-5"/>
      <sheetName val="井径"/>
      <sheetName val="地层P-T"/>
      <sheetName val="井漏记录"/>
      <sheetName val="工程事故"/>
      <sheetName val="试油成果"/>
      <sheetName val="xxxxxx"/>
      <sheetName val="BHA"/>
      <sheetName val="general"/>
      <sheetName val="Days.干井"/>
      <sheetName val="Option Summary"/>
      <sheetName val="CSpreadSheetBac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 Form"/>
      <sheetName val="Cost Estimate"/>
      <sheetName val="APD"/>
      <sheetName val="PPFG (2)"/>
      <sheetName val="PPFG"/>
      <sheetName val="668 #1 CURVES"/>
      <sheetName val="AREA CURVES"/>
      <sheetName val="CMT $"/>
      <sheetName val="LOGCOST1"/>
      <sheetName val="LOT_PIT"/>
      <sheetName val="LOG TEMPS"/>
      <sheetName val="AREA PPG"/>
      <sheetName val="MRI Calc's"/>
      <sheetName val="MUD CHK"/>
      <sheetName val="DRLG SUM"/>
      <sheetName val="AREA MUD WT"/>
      <sheetName val="FRAC EST"/>
      <sheetName val="OFFSTICKS"/>
      <sheetName val="WELLPLANOUTLINE"/>
      <sheetName val="12(762mm)套管"/>
      <sheetName val="钻井日报表"/>
      <sheetName val="进度曲线"/>
      <sheetName val="BHCT"/>
      <sheetName val="#REF!"/>
      <sheetName val="Chemreq"/>
      <sheetName val="井口装置示意图-4"/>
      <sheetName val="康菲合同价格表"/>
      <sheetName val="计算9"/>
      <sheetName val="Days.干井"/>
      <sheetName val="试压"/>
      <sheetName val="Calculations"/>
      <sheetName val="岭头19-1"/>
      <sheetName val="Tally"/>
      <sheetName val="COVER SHEET"/>
      <sheetName val="Lists"/>
      <sheetName val="试油成果记录"/>
      <sheetName val="资产负债表"/>
      <sheetName val="井身结构"/>
      <sheetName val="7&quot;csg"/>
      <sheetName val="工具准备"/>
      <sheetName val="添加剂计划"/>
      <sheetName val="费用预算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 Form"/>
      <sheetName val="Cost Estimate"/>
      <sheetName val="APD"/>
      <sheetName val="PPFG (2)"/>
      <sheetName val="PPFG"/>
      <sheetName val="668 #1 CURVES"/>
      <sheetName val="AREA CURVES"/>
      <sheetName val="CMT $"/>
      <sheetName val="LOGCOST1"/>
      <sheetName val="LOT_PIT"/>
      <sheetName val="LOG TEMPS"/>
      <sheetName val="AREA PPG"/>
      <sheetName val="MRI Calc's"/>
      <sheetName val="MUD CHK"/>
      <sheetName val="DRLG SUM"/>
      <sheetName val="AREA MUD WT"/>
      <sheetName val="FRAC EST"/>
      <sheetName val="OFFSTICKS"/>
      <sheetName val="WELLPLANOUTLINE"/>
      <sheetName val="12(762mm)套管"/>
      <sheetName val="钻井日报表"/>
      <sheetName val="进度曲线"/>
      <sheetName val="BHCT"/>
      <sheetName val="#REF!"/>
      <sheetName val="Chemreq"/>
      <sheetName val="laroux"/>
      <sheetName val="工程总结"/>
      <sheetName val="井口装置示意图-1"/>
      <sheetName val="井口装置示意图-2"/>
      <sheetName val="井口装置示意图-3"/>
      <sheetName val="井口装置示意图-4"/>
      <sheetName val="井口装置示意图-2 (2)"/>
      <sheetName val="井口装置示意图-3 (2)"/>
      <sheetName val="井口装置示意图-3 (3)"/>
      <sheetName val="试油成果记录"/>
      <sheetName val="_MDT data_LD27-2-2"/>
      <sheetName val="调整"/>
      <sheetName val="试压"/>
      <sheetName val="岭头19-1"/>
      <sheetName val="CSG13"/>
      <sheetName val="_MDT_data_LD27-2-2"/>
      <sheetName val="钻井(调整)"/>
      <sheetName val="Tally"/>
      <sheetName val="C101"/>
      <sheetName val="资产负债表"/>
      <sheetName val="Financial Statements"/>
      <sheetName val="details"/>
      <sheetName val="船舶单价"/>
      <sheetName val="海工公司施工设备价格调整"/>
      <sheetName val="A1计"/>
      <sheetName val="2.x  DST No.1 Cover"/>
      <sheetName val="结果对比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桩靴印"/>
      <sheetName val="试油时效"/>
      <sheetName val="试压"/>
      <sheetName val="地漏"/>
      <sheetName val="取心记录"/>
      <sheetName val="试油成果"/>
      <sheetName val="成本分析"/>
      <sheetName val="一开井口"/>
      <sheetName val="二开井口"/>
      <sheetName val="钻井日报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桩靴印"/>
      <sheetName val="试油时效"/>
      <sheetName val="试压"/>
      <sheetName val="地漏"/>
      <sheetName val="取心记录"/>
      <sheetName val="试油成果"/>
      <sheetName val="成本分析"/>
      <sheetName val="一开井口"/>
      <sheetName val="二开井口"/>
      <sheetName val="AP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D CHK"/>
      <sheetName val="LOTSHEET"/>
      <sheetName val="BIT REC"/>
      <sheetName val="DRLG SUM"/>
      <sheetName val="APD"/>
      <sheetName val="AFE"/>
      <sheetName val="132 #1 CURVES"/>
      <sheetName val="EST &quot;A&quot;"/>
      <sheetName val="LOGCOST1"/>
      <sheetName val="AREA CURVES"/>
      <sheetName val="132 1 RES"/>
      <sheetName val="PPFG"/>
      <sheetName val="PPFG (APD)"/>
      <sheetName val="MUD WT"/>
      <sheetName val="FRAC EST"/>
      <sheetName val="LOT_PIT"/>
      <sheetName val="CMTVOL"/>
      <sheetName val="LWD Bids"/>
      <sheetName val="钻井(调整)"/>
      <sheetName val="康菲合同价格表"/>
      <sheetName val="Days.干井"/>
      <sheetName val="岭头19-1"/>
      <sheetName val="12(762mm)套管"/>
      <sheetName val="钻井日报表"/>
      <sheetName val="进度曲线"/>
      <sheetName val="试压"/>
      <sheetName val="数据库"/>
      <sheetName val="试油成果记录"/>
      <sheetName val="#REF!"/>
      <sheetName val="井口装置示意图-4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D CHK"/>
      <sheetName val="LOTSHEET"/>
      <sheetName val="BIT REC"/>
      <sheetName val="DRLG SUM"/>
      <sheetName val="APD"/>
      <sheetName val="AFE"/>
      <sheetName val="132 #1 CURVES"/>
      <sheetName val="EST &quot;A&quot;"/>
      <sheetName val="LOGCOST1"/>
      <sheetName val="AREA CURVES"/>
      <sheetName val="132 1 RES"/>
      <sheetName val="PPFG"/>
      <sheetName val="PPFG (APD)"/>
      <sheetName val="MUD WT"/>
      <sheetName val="FRAC EST"/>
      <sheetName val="LOT_PIT"/>
      <sheetName val="CMTVOL"/>
      <sheetName val="LWD Bids"/>
      <sheetName val="AFE Form"/>
      <sheetName val="Cost Estimate"/>
      <sheetName val="PPFG (2)"/>
      <sheetName val="668 #1 CURVES"/>
      <sheetName val="CMT $"/>
      <sheetName val="LOG TEMPS"/>
      <sheetName val="AREA PPG"/>
      <sheetName val="MRI Calc's"/>
      <sheetName val="AREA MUD WT"/>
      <sheetName val="OFFSTICKS"/>
      <sheetName val="WELLPLANOUTLINE"/>
      <sheetName val="井身结构"/>
      <sheetName val="7&quot;csg"/>
      <sheetName val="工具准备"/>
      <sheetName val="添加剂计划"/>
      <sheetName val="费用预算"/>
      <sheetName val="laroux"/>
      <sheetName val="工程总结"/>
      <sheetName val="井口装置示意图-1"/>
      <sheetName val="井口装置示意图-2"/>
      <sheetName val="井口装置示意图-3"/>
      <sheetName val="井口装置示意图-4"/>
      <sheetName val="井口装置示意图-2 (2)"/>
      <sheetName val="井口装置示意图-3 (2)"/>
      <sheetName val="井口装置示意图-3 (3)"/>
      <sheetName val="试压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钻井日报表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钻井日报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>
              <a:alpha val="100000"/>
            </a:srgbClr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S75"/>
  <sheetViews>
    <sheetView showGridLines="0" topLeftCell="H1" zoomScale="109" zoomScaleNormal="55" workbookViewId="0">
      <selection activeCell="M10" sqref="M10"/>
    </sheetView>
  </sheetViews>
  <sheetFormatPr defaultColWidth="12.5" defaultRowHeight="36" customHeight="1"/>
  <cols>
    <col min="1" max="1" width="6.19921875" style="16" customWidth="1"/>
    <col min="2" max="2" width="22.19921875" style="16" customWidth="1"/>
    <col min="3" max="3" width="10.8984375" style="16" customWidth="1"/>
    <col min="4" max="4" width="13.796875" style="16" customWidth="1"/>
    <col min="5" max="5" width="9.59765625" style="16" customWidth="1"/>
    <col min="6" max="6" width="30.5" style="16" customWidth="1"/>
    <col min="7" max="7" width="19.8984375" style="16" customWidth="1"/>
    <col min="8" max="8" width="18.69921875" style="16" customWidth="1"/>
    <col min="9" max="9" width="12.09765625" style="16" customWidth="1"/>
    <col min="10" max="10" width="27.19921875" style="16" customWidth="1"/>
    <col min="11" max="11" width="14.5" style="16" customWidth="1"/>
    <col min="12" max="29" width="17" style="24" customWidth="1"/>
    <col min="30" max="31" width="17" style="16" customWidth="1"/>
    <col min="32" max="222" width="10.59765625" style="16" customWidth="1"/>
    <col min="223" max="223" width="6.19921875" style="16" customWidth="1"/>
    <col min="224" max="224" width="12.59765625" style="16" customWidth="1"/>
    <col min="225" max="225" width="6.69921875" style="16" customWidth="1"/>
    <col min="226" max="226" width="10.09765625" style="16" customWidth="1"/>
    <col min="227" max="227" width="2.3984375" style="16" customWidth="1"/>
    <col min="228" max="228" width="9.19921875" style="16" customWidth="1"/>
    <col min="229" max="229" width="10.5" style="16" customWidth="1"/>
    <col min="230" max="230" width="6.19921875" style="16" customWidth="1"/>
    <col min="231" max="231" width="13" style="16" customWidth="1"/>
    <col min="232" max="232" width="32.3984375" style="16" customWidth="1"/>
    <col min="233" max="233" width="11.09765625" style="16" customWidth="1"/>
    <col min="234" max="234" width="2.5" style="16" customWidth="1"/>
    <col min="235" max="16384" width="12.5" style="16"/>
  </cols>
  <sheetData>
    <row r="1" spans="1:29" ht="21" customHeight="1">
      <c r="A1" s="25"/>
      <c r="B1" s="26"/>
      <c r="C1" s="26"/>
      <c r="D1" s="26"/>
      <c r="E1" s="26"/>
      <c r="F1" s="26"/>
      <c r="G1" s="26"/>
      <c r="H1" s="26"/>
      <c r="I1" s="26"/>
      <c r="J1" s="83"/>
    </row>
    <row r="2" spans="1:29" ht="29.25" customHeight="1">
      <c r="A2" s="161" t="s">
        <v>0</v>
      </c>
      <c r="B2" s="162"/>
      <c r="C2" s="162"/>
      <c r="D2" s="162"/>
      <c r="E2" s="162"/>
      <c r="F2" s="162"/>
      <c r="G2" s="162"/>
      <c r="H2" s="162"/>
      <c r="I2" s="162"/>
      <c r="J2" s="163"/>
      <c r="L2" s="84" t="s">
        <v>1</v>
      </c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</row>
    <row r="3" spans="1:29" ht="7.05" customHeight="1">
      <c r="A3" s="27"/>
      <c r="B3" s="28"/>
      <c r="C3" s="28"/>
      <c r="D3" s="28"/>
      <c r="E3" s="29"/>
      <c r="F3" s="29"/>
      <c r="G3" s="30"/>
      <c r="H3" s="30"/>
      <c r="I3" s="30"/>
      <c r="J3" s="86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</row>
    <row r="4" spans="1:29" ht="31.95" customHeight="1">
      <c r="A4" s="25"/>
      <c r="B4" s="31"/>
      <c r="C4" s="31"/>
      <c r="D4" s="31"/>
      <c r="E4" s="31"/>
      <c r="F4" s="31"/>
      <c r="G4" s="31"/>
      <c r="H4" s="31"/>
      <c r="I4" s="31"/>
      <c r="J4" s="87"/>
      <c r="L4" s="88" t="s">
        <v>2</v>
      </c>
      <c r="M4" s="89" t="s">
        <v>3</v>
      </c>
      <c r="N4" s="88" t="s">
        <v>4</v>
      </c>
      <c r="O4" s="90" t="s">
        <v>5</v>
      </c>
      <c r="P4" s="91"/>
      <c r="Q4" s="91"/>
      <c r="R4" s="123"/>
      <c r="S4" s="124"/>
      <c r="T4" s="125"/>
      <c r="U4" s="126"/>
      <c r="V4" s="110"/>
      <c r="W4" s="127"/>
      <c r="X4" s="123"/>
      <c r="Y4" s="127"/>
      <c r="Z4" s="123"/>
      <c r="AA4" s="123"/>
      <c r="AB4" s="123"/>
      <c r="AC4" s="139"/>
    </row>
    <row r="5" spans="1:29" s="17" customFormat="1" ht="36" customHeight="1">
      <c r="A5" s="164" t="s">
        <v>6</v>
      </c>
      <c r="B5" s="165"/>
      <c r="C5" s="165"/>
      <c r="D5" s="165"/>
      <c r="E5" s="165"/>
      <c r="F5" s="165"/>
      <c r="G5" s="165"/>
      <c r="H5" s="165"/>
      <c r="I5" s="165"/>
      <c r="J5" s="166"/>
      <c r="K5" s="92"/>
      <c r="L5" s="88" t="s">
        <v>7</v>
      </c>
      <c r="M5" s="89" t="s">
        <v>8</v>
      </c>
      <c r="N5" s="93" t="s">
        <v>9</v>
      </c>
      <c r="O5" s="94" t="s">
        <v>10</v>
      </c>
      <c r="P5" s="196"/>
      <c r="Q5" s="197"/>
      <c r="R5" s="123"/>
      <c r="S5" s="124"/>
      <c r="T5" s="123"/>
      <c r="U5" s="128"/>
      <c r="V5" s="129"/>
      <c r="W5" s="130"/>
      <c r="X5" s="123"/>
      <c r="Y5" s="128"/>
      <c r="Z5" s="123"/>
      <c r="AA5" s="123"/>
      <c r="AB5" s="123"/>
      <c r="AC5" s="140"/>
    </row>
    <row r="6" spans="1:29" s="18" customFormat="1" ht="37.049999999999997" customHeight="1">
      <c r="A6" s="32"/>
      <c r="B6" s="19"/>
      <c r="C6" s="30"/>
      <c r="D6" s="33"/>
      <c r="E6" s="34"/>
      <c r="F6" s="19"/>
      <c r="G6" s="35"/>
      <c r="H6" s="19"/>
      <c r="I6" s="19"/>
      <c r="J6" s="95"/>
      <c r="L6" s="96" t="s">
        <v>11</v>
      </c>
      <c r="M6" s="89" t="s">
        <v>12</v>
      </c>
      <c r="N6" s="93" t="s">
        <v>13</v>
      </c>
      <c r="O6" s="94">
        <v>1565</v>
      </c>
      <c r="P6" s="196"/>
      <c r="Q6" s="198"/>
      <c r="R6" s="123"/>
      <c r="S6" s="128"/>
      <c r="T6" s="123"/>
      <c r="U6" s="124"/>
      <c r="V6" s="129"/>
      <c r="W6" s="128"/>
      <c r="X6" s="125"/>
      <c r="Y6" s="128"/>
      <c r="Z6" s="123"/>
      <c r="AA6" s="123"/>
      <c r="AB6" s="123"/>
      <c r="AC6" s="140"/>
    </row>
    <row r="7" spans="1:29" s="19" customFormat="1" ht="30" customHeight="1">
      <c r="A7" s="36" t="s">
        <v>14</v>
      </c>
      <c r="B7" s="37" t="s">
        <v>15</v>
      </c>
      <c r="C7" s="38"/>
      <c r="D7" s="167"/>
      <c r="E7" s="167"/>
      <c r="F7" s="38"/>
      <c r="G7" s="38"/>
      <c r="H7" s="38"/>
      <c r="I7" s="38" t="s">
        <v>16</v>
      </c>
      <c r="J7" s="97">
        <v>44</v>
      </c>
      <c r="L7" s="93" t="s">
        <v>17</v>
      </c>
      <c r="M7" s="89"/>
      <c r="N7" s="93" t="s">
        <v>18</v>
      </c>
      <c r="O7" s="94" t="s">
        <v>19</v>
      </c>
      <c r="P7" s="196"/>
      <c r="Q7" s="198"/>
      <c r="R7" s="125"/>
      <c r="S7" s="128"/>
      <c r="T7" s="123"/>
      <c r="U7" s="124"/>
      <c r="V7" s="129"/>
      <c r="W7" s="128"/>
      <c r="X7" s="125"/>
      <c r="Y7" s="128"/>
      <c r="Z7" s="123"/>
      <c r="AA7" s="123"/>
      <c r="AB7" s="123"/>
      <c r="AC7" s="128"/>
    </row>
    <row r="8" spans="1:29" ht="25.5" customHeight="1">
      <c r="A8" s="39"/>
      <c r="B8" s="40"/>
      <c r="C8" s="40"/>
      <c r="D8" s="40"/>
      <c r="E8" s="40"/>
      <c r="F8" s="40"/>
      <c r="G8" s="40"/>
      <c r="H8" s="40"/>
      <c r="I8" s="40"/>
      <c r="J8" s="98"/>
      <c r="L8" s="99" t="s">
        <v>20</v>
      </c>
      <c r="M8" s="89"/>
      <c r="N8" s="88"/>
      <c r="O8" s="100"/>
      <c r="P8" s="196"/>
      <c r="Q8" s="198"/>
      <c r="R8" s="123"/>
      <c r="S8" s="128"/>
      <c r="T8" s="110"/>
      <c r="U8" s="128"/>
      <c r="V8" s="131"/>
      <c r="W8" s="132"/>
      <c r="X8" s="123"/>
      <c r="Y8" s="141"/>
      <c r="Z8" s="123"/>
      <c r="AA8" s="123"/>
      <c r="AB8" s="123"/>
      <c r="AC8" s="132"/>
    </row>
    <row r="9" spans="1:29" s="20" customFormat="1" ht="30" customHeight="1">
      <c r="A9" s="168" t="s">
        <v>355</v>
      </c>
      <c r="B9" s="169"/>
      <c r="C9" s="169"/>
      <c r="D9" s="169"/>
      <c r="E9" s="168" t="s">
        <v>356</v>
      </c>
      <c r="F9" s="169"/>
      <c r="G9" s="169"/>
      <c r="H9" s="169"/>
      <c r="I9" s="169"/>
      <c r="J9" s="170"/>
      <c r="L9" s="101"/>
      <c r="M9" s="101"/>
      <c r="N9" s="101"/>
      <c r="O9" s="102"/>
      <c r="P9" s="102"/>
      <c r="Q9" s="101"/>
      <c r="R9" s="101"/>
      <c r="S9" s="101"/>
      <c r="T9" s="101"/>
      <c r="U9" s="101"/>
      <c r="V9" s="101"/>
      <c r="W9" s="101"/>
      <c r="X9" s="101"/>
      <c r="Y9" s="101"/>
      <c r="Z9" s="102"/>
      <c r="AA9" s="101"/>
      <c r="AB9" s="101"/>
      <c r="AC9" s="101"/>
    </row>
    <row r="10" spans="1:29" s="21" customFormat="1" ht="24" customHeight="1">
      <c r="A10" s="41" t="s">
        <v>21</v>
      </c>
      <c r="B10" s="42" t="s">
        <v>22</v>
      </c>
      <c r="C10" s="42" t="s">
        <v>23</v>
      </c>
      <c r="D10" s="43" t="s">
        <v>24</v>
      </c>
      <c r="E10" s="41" t="s">
        <v>21</v>
      </c>
      <c r="F10" s="42" t="s">
        <v>25</v>
      </c>
      <c r="G10" s="171" t="s">
        <v>26</v>
      </c>
      <c r="H10" s="172"/>
      <c r="I10" s="42" t="s">
        <v>27</v>
      </c>
      <c r="J10" s="103" t="s">
        <v>24</v>
      </c>
      <c r="K10" s="104"/>
      <c r="L10" s="105"/>
      <c r="M10" s="106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2"/>
      <c r="Y10" s="101"/>
      <c r="Z10" s="102"/>
      <c r="AA10" s="101"/>
      <c r="AB10" s="101"/>
      <c r="AC10" s="101"/>
    </row>
    <row r="11" spans="1:29" s="21" customFormat="1" ht="18.75" customHeight="1">
      <c r="A11" s="41">
        <v>1</v>
      </c>
      <c r="B11" s="44" t="s">
        <v>28</v>
      </c>
      <c r="C11" s="45">
        <v>1</v>
      </c>
      <c r="D11" s="46" t="s">
        <v>29</v>
      </c>
      <c r="E11" s="47">
        <v>1</v>
      </c>
      <c r="F11" s="44" t="s">
        <v>30</v>
      </c>
      <c r="G11" s="48">
        <v>45838</v>
      </c>
      <c r="H11" s="48">
        <v>45840</v>
      </c>
      <c r="I11" s="107">
        <v>3</v>
      </c>
      <c r="J11" s="108"/>
      <c r="K11" s="104"/>
      <c r="L11" s="106"/>
      <c r="M11" s="109"/>
      <c r="N11" s="101"/>
      <c r="O11" s="101"/>
      <c r="P11" s="110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</row>
    <row r="12" spans="1:29" s="21" customFormat="1" ht="18.75" customHeight="1">
      <c r="A12" s="41">
        <v>2</v>
      </c>
      <c r="B12" s="44" t="s">
        <v>31</v>
      </c>
      <c r="C12" s="45">
        <v>2</v>
      </c>
      <c r="D12" s="46" t="s">
        <v>29</v>
      </c>
      <c r="E12" s="47">
        <v>2</v>
      </c>
      <c r="F12" s="42"/>
      <c r="G12" s="49"/>
      <c r="H12" s="49"/>
      <c r="I12" s="111" t="str">
        <f>IF(OR(F12="",F12=""),"",H12-G12+1)</f>
        <v/>
      </c>
      <c r="J12" s="108" t="str">
        <f>IF(F12="","",VLOOKUP(F12,'price and cost sheet'!$A$3:$H$149,3,0))</f>
        <v/>
      </c>
      <c r="K12" s="104"/>
      <c r="L12" s="106"/>
      <c r="M12" s="109"/>
      <c r="N12" s="101"/>
      <c r="O12" s="101"/>
      <c r="P12" s="110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</row>
    <row r="13" spans="1:29" s="21" customFormat="1" ht="18.75" customHeight="1">
      <c r="A13" s="41">
        <v>3</v>
      </c>
      <c r="B13" s="44" t="s">
        <v>32</v>
      </c>
      <c r="C13" s="45">
        <v>2</v>
      </c>
      <c r="D13" s="46" t="s">
        <v>29</v>
      </c>
      <c r="E13" s="47">
        <v>3</v>
      </c>
      <c r="F13" s="42"/>
      <c r="G13" s="49"/>
      <c r="H13" s="49"/>
      <c r="I13" s="111" t="str">
        <f>IF(OR(F13="",F13=""),"",H13-G13+1)</f>
        <v/>
      </c>
      <c r="J13" s="108" t="str">
        <f>IF(F13="","",VLOOKUP(F13,'price and cost sheet'!$A$3:$H$149,3,0))</f>
        <v/>
      </c>
      <c r="K13" s="104"/>
      <c r="L13" s="106"/>
      <c r="M13" s="109"/>
      <c r="N13" s="101"/>
      <c r="O13" s="101"/>
      <c r="P13" s="110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</row>
    <row r="14" spans="1:29" s="21" customFormat="1" ht="18.75" customHeight="1">
      <c r="A14" s="41">
        <v>4</v>
      </c>
      <c r="B14" s="44" t="s">
        <v>33</v>
      </c>
      <c r="C14" s="45">
        <v>0.5</v>
      </c>
      <c r="D14" s="46" t="s">
        <v>29</v>
      </c>
      <c r="E14" s="47">
        <v>4</v>
      </c>
      <c r="F14" s="42"/>
      <c r="G14" s="49"/>
      <c r="H14" s="49"/>
      <c r="I14" s="111" t="str">
        <f>IF(OR(F14="",F14=""),"",H14-G14+1)</f>
        <v/>
      </c>
      <c r="J14" s="108" t="str">
        <f>IF(F14="","",VLOOKUP(F14,'price and cost sheet'!$A$3:$H$149,3,0))</f>
        <v/>
      </c>
      <c r="K14" s="104"/>
      <c r="L14" s="106"/>
      <c r="M14" s="109"/>
      <c r="N14" s="101"/>
      <c r="O14" s="101"/>
      <c r="P14" s="110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</row>
    <row r="15" spans="1:29" s="21" customFormat="1" ht="18.75" customHeight="1">
      <c r="A15" s="41">
        <v>5</v>
      </c>
      <c r="B15" s="44"/>
      <c r="C15" s="45"/>
      <c r="D15" s="46"/>
      <c r="E15" s="47">
        <v>5</v>
      </c>
      <c r="F15" s="42"/>
      <c r="G15" s="49"/>
      <c r="H15" s="49"/>
      <c r="I15" s="111" t="str">
        <f>IF(OR(F15="",F15=""),"",H15-G15+1)</f>
        <v/>
      </c>
      <c r="J15" s="108" t="str">
        <f>IF(F15="","",VLOOKUP(F15,'price and cost sheet'!$A$3:$H$149,3,0))</f>
        <v/>
      </c>
      <c r="K15" s="104"/>
      <c r="L15" s="106"/>
      <c r="M15" s="109"/>
      <c r="N15" s="101"/>
      <c r="O15" s="101"/>
      <c r="P15" s="110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</row>
    <row r="16" spans="1:29" s="21" customFormat="1" ht="18.75" customHeight="1">
      <c r="A16" s="41">
        <v>6</v>
      </c>
      <c r="B16" s="44"/>
      <c r="C16" s="45"/>
      <c r="E16" s="47">
        <v>6</v>
      </c>
      <c r="F16" s="50"/>
      <c r="G16" s="50"/>
      <c r="H16" s="49"/>
      <c r="I16" s="55"/>
      <c r="J16" s="103"/>
      <c r="K16" s="104"/>
      <c r="L16" s="106"/>
      <c r="M16" s="109"/>
      <c r="N16" s="101"/>
      <c r="O16" s="101"/>
      <c r="P16" s="110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</row>
    <row r="17" spans="1:29" s="21" customFormat="1" ht="18.75" customHeight="1">
      <c r="A17" s="41">
        <v>7</v>
      </c>
      <c r="B17" s="44"/>
      <c r="C17" s="45"/>
      <c r="D17" s="46"/>
      <c r="E17" s="47">
        <v>7</v>
      </c>
      <c r="F17" s="50"/>
      <c r="G17" s="50"/>
      <c r="H17" s="49"/>
      <c r="I17" s="55" t="s">
        <v>34</v>
      </c>
      <c r="J17" s="103" t="s">
        <v>34</v>
      </c>
      <c r="K17" s="104"/>
      <c r="L17" s="106" t="str">
        <f t="shared" ref="L17:L38" si="0">IF(B17="","",B17)</f>
        <v/>
      </c>
      <c r="M17" s="109" t="str">
        <f t="shared" ref="M17:M38" si="1">IF(B17="","",C17-N17)</f>
        <v/>
      </c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</row>
    <row r="18" spans="1:29" s="21" customFormat="1" ht="18.75" customHeight="1">
      <c r="A18" s="41">
        <v>8</v>
      </c>
      <c r="B18" s="44"/>
      <c r="C18" s="45"/>
      <c r="D18" s="46"/>
      <c r="E18" s="47">
        <v>8</v>
      </c>
      <c r="F18" s="50"/>
      <c r="G18" s="50"/>
      <c r="H18" s="49"/>
      <c r="I18" s="55" t="s">
        <v>34</v>
      </c>
      <c r="J18" s="103" t="s">
        <v>34</v>
      </c>
      <c r="K18" s="104"/>
      <c r="L18" s="106" t="str">
        <f t="shared" si="0"/>
        <v/>
      </c>
      <c r="M18" s="109" t="str">
        <f t="shared" si="1"/>
        <v/>
      </c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</row>
    <row r="19" spans="1:29" s="21" customFormat="1" ht="18.75" customHeight="1">
      <c r="A19" s="41">
        <v>9</v>
      </c>
      <c r="B19" s="44"/>
      <c r="C19" s="45"/>
      <c r="D19" s="46"/>
      <c r="E19" s="47">
        <v>9</v>
      </c>
      <c r="F19" s="50"/>
      <c r="G19" s="50"/>
      <c r="H19" s="49"/>
      <c r="I19" s="55"/>
      <c r="J19" s="103" t="s">
        <v>34</v>
      </c>
      <c r="K19" s="104"/>
      <c r="L19" s="106" t="str">
        <f t="shared" si="0"/>
        <v/>
      </c>
      <c r="M19" s="109" t="str">
        <f t="shared" si="1"/>
        <v/>
      </c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</row>
    <row r="20" spans="1:29" s="21" customFormat="1" ht="18.75" customHeight="1">
      <c r="A20" s="41">
        <v>10</v>
      </c>
      <c r="B20" s="44"/>
      <c r="C20" s="45"/>
      <c r="D20" s="46"/>
      <c r="E20" s="47">
        <v>10</v>
      </c>
      <c r="F20" s="50"/>
      <c r="G20" s="50"/>
      <c r="H20" s="49"/>
      <c r="I20" s="55" t="s">
        <v>34</v>
      </c>
      <c r="J20" s="103" t="s">
        <v>34</v>
      </c>
      <c r="K20" s="104"/>
      <c r="L20" s="106" t="str">
        <f t="shared" si="0"/>
        <v/>
      </c>
      <c r="M20" s="109" t="str">
        <f t="shared" si="1"/>
        <v/>
      </c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</row>
    <row r="21" spans="1:29" s="21" customFormat="1" ht="18.75" customHeight="1">
      <c r="A21" s="41">
        <v>11</v>
      </c>
      <c r="B21" s="44"/>
      <c r="C21" s="45"/>
      <c r="D21" s="46"/>
      <c r="E21" s="47">
        <v>11</v>
      </c>
      <c r="F21" s="50"/>
      <c r="G21" s="50"/>
      <c r="H21" s="49"/>
      <c r="I21" s="55" t="s">
        <v>34</v>
      </c>
      <c r="J21" s="103" t="s">
        <v>34</v>
      </c>
      <c r="K21" s="104"/>
      <c r="L21" s="106" t="str">
        <f t="shared" si="0"/>
        <v/>
      </c>
      <c r="M21" s="109" t="str">
        <f t="shared" si="1"/>
        <v/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</row>
    <row r="22" spans="1:29" s="21" customFormat="1" ht="18.75" customHeight="1">
      <c r="A22" s="41">
        <v>12</v>
      </c>
      <c r="B22" s="44"/>
      <c r="C22" s="45"/>
      <c r="D22" s="46"/>
      <c r="E22" s="47">
        <v>12</v>
      </c>
      <c r="F22" s="50"/>
      <c r="G22" s="49"/>
      <c r="I22" s="55" t="s">
        <v>34</v>
      </c>
      <c r="J22" s="103" t="s">
        <v>34</v>
      </c>
      <c r="K22" s="104"/>
      <c r="L22" s="106" t="str">
        <f t="shared" si="0"/>
        <v/>
      </c>
      <c r="M22" s="109" t="str">
        <f t="shared" si="1"/>
        <v/>
      </c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</row>
    <row r="23" spans="1:29" s="21" customFormat="1" ht="18.75" customHeight="1">
      <c r="A23" s="41">
        <v>13</v>
      </c>
      <c r="B23" s="44"/>
      <c r="C23" s="45"/>
      <c r="D23" s="46" t="str">
        <f>IF(B23="","",VLOOKUP(B23,'price and cost sheet'!$A$3:$H$149,3,0))</f>
        <v/>
      </c>
      <c r="E23" s="47">
        <v>13</v>
      </c>
      <c r="F23" s="50"/>
      <c r="H23" s="49"/>
      <c r="I23" s="55" t="s">
        <v>34</v>
      </c>
      <c r="J23" s="103" t="s">
        <v>34</v>
      </c>
      <c r="K23" s="104"/>
      <c r="L23" s="106" t="str">
        <f t="shared" si="0"/>
        <v/>
      </c>
      <c r="M23" s="109" t="str">
        <f t="shared" si="1"/>
        <v/>
      </c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</row>
    <row r="24" spans="1:29" s="21" customFormat="1" ht="18.75" customHeight="1">
      <c r="A24" s="41">
        <v>14</v>
      </c>
      <c r="B24" s="44"/>
      <c r="C24" s="45"/>
      <c r="D24" s="46" t="str">
        <f>IF(B24="","",VLOOKUP(B24,'price and cost sheet'!$A$3:$H$149,3,0))</f>
        <v/>
      </c>
      <c r="E24" s="47">
        <v>14</v>
      </c>
      <c r="F24" s="50"/>
      <c r="G24" s="49"/>
      <c r="H24" s="49"/>
      <c r="I24" s="55" t="s">
        <v>34</v>
      </c>
      <c r="J24" s="103" t="s">
        <v>34</v>
      </c>
      <c r="K24" s="104"/>
      <c r="L24" s="106" t="str">
        <f t="shared" si="0"/>
        <v/>
      </c>
      <c r="M24" s="109" t="str">
        <f t="shared" si="1"/>
        <v/>
      </c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</row>
    <row r="25" spans="1:29" s="21" customFormat="1" ht="18.75" customHeight="1">
      <c r="A25" s="41">
        <v>15</v>
      </c>
      <c r="B25" s="44"/>
      <c r="C25" s="45"/>
      <c r="D25" s="46" t="str">
        <f>IF(B25="","",VLOOKUP(B25,'price and cost sheet'!$A$3:$H$149,3,0))</f>
        <v/>
      </c>
      <c r="E25" s="47">
        <v>15</v>
      </c>
      <c r="F25" s="50"/>
      <c r="G25" s="49"/>
      <c r="H25" s="49"/>
      <c r="I25" s="55" t="s">
        <v>34</v>
      </c>
      <c r="J25" s="103" t="s">
        <v>34</v>
      </c>
      <c r="K25" s="104"/>
      <c r="L25" s="106" t="str">
        <f t="shared" si="0"/>
        <v/>
      </c>
      <c r="M25" s="109" t="str">
        <f t="shared" si="1"/>
        <v/>
      </c>
      <c r="N25" s="101"/>
      <c r="O25" s="101"/>
      <c r="P25" s="101"/>
      <c r="Q25" s="101"/>
      <c r="R25" s="101"/>
      <c r="S25" s="101"/>
      <c r="T25" s="101"/>
      <c r="U25" s="101">
        <v>0.5</v>
      </c>
      <c r="V25" s="101"/>
      <c r="W25" s="101">
        <v>1</v>
      </c>
      <c r="X25" s="101"/>
      <c r="Y25" s="101"/>
      <c r="Z25" s="101"/>
      <c r="AA25" s="101"/>
      <c r="AB25" s="101"/>
      <c r="AC25" s="101"/>
    </row>
    <row r="26" spans="1:29" s="21" customFormat="1" ht="18.75" customHeight="1">
      <c r="A26" s="41">
        <v>16</v>
      </c>
      <c r="B26" s="44"/>
      <c r="C26" s="45"/>
      <c r="D26" s="46" t="str">
        <f>IF(B26="","",VLOOKUP(B26,'price and cost sheet'!$A$3:$H$149,3,0))</f>
        <v/>
      </c>
      <c r="E26" s="47">
        <v>16</v>
      </c>
      <c r="F26" s="50"/>
      <c r="G26" s="49"/>
      <c r="H26" s="49"/>
      <c r="I26" s="55" t="s">
        <v>34</v>
      </c>
      <c r="J26" s="103" t="s">
        <v>34</v>
      </c>
      <c r="K26" s="104"/>
      <c r="L26" s="106" t="str">
        <f t="shared" si="0"/>
        <v/>
      </c>
      <c r="M26" s="109" t="str">
        <f t="shared" si="1"/>
        <v/>
      </c>
      <c r="N26" s="101"/>
      <c r="O26" s="101"/>
      <c r="P26" s="101"/>
      <c r="Q26" s="101"/>
      <c r="R26" s="101"/>
      <c r="S26" s="101"/>
      <c r="T26" s="101"/>
      <c r="U26" s="101">
        <v>2</v>
      </c>
      <c r="V26" s="101"/>
      <c r="W26" s="101">
        <v>0.75</v>
      </c>
      <c r="X26" s="101"/>
      <c r="Y26" s="101"/>
      <c r="Z26" s="101"/>
      <c r="AA26" s="101"/>
      <c r="AB26" s="101"/>
      <c r="AC26" s="101"/>
    </row>
    <row r="27" spans="1:29" s="21" customFormat="1" ht="18.75" customHeight="1">
      <c r="A27" s="41">
        <v>17</v>
      </c>
      <c r="B27" s="44"/>
      <c r="C27" s="45"/>
      <c r="D27" s="46" t="str">
        <f>IF(B27="","",VLOOKUP(B27,'price and cost sheet'!$A$3:$H$149,3,0))</f>
        <v/>
      </c>
      <c r="E27" s="47">
        <v>17</v>
      </c>
      <c r="F27" s="50"/>
      <c r="G27" s="49"/>
      <c r="H27" s="49"/>
      <c r="I27" s="55" t="s">
        <v>34</v>
      </c>
      <c r="J27" s="103" t="s">
        <v>34</v>
      </c>
      <c r="K27" s="104"/>
      <c r="L27" s="106" t="str">
        <f t="shared" si="0"/>
        <v/>
      </c>
      <c r="M27" s="109" t="str">
        <f t="shared" si="1"/>
        <v/>
      </c>
      <c r="N27" s="101"/>
      <c r="O27" s="101"/>
      <c r="P27" s="101"/>
      <c r="Q27" s="101"/>
      <c r="R27" s="101"/>
      <c r="S27" s="101"/>
      <c r="T27" s="101"/>
      <c r="U27" s="101">
        <v>2</v>
      </c>
      <c r="V27" s="101"/>
      <c r="W27" s="101">
        <v>0.75</v>
      </c>
      <c r="X27" s="101"/>
      <c r="Y27" s="101"/>
      <c r="Z27" s="101"/>
      <c r="AA27" s="101"/>
      <c r="AB27" s="101"/>
      <c r="AC27" s="101"/>
    </row>
    <row r="28" spans="1:29" s="21" customFormat="1" ht="18.75" customHeight="1">
      <c r="A28" s="41">
        <v>18</v>
      </c>
      <c r="B28" s="44"/>
      <c r="C28" s="45"/>
      <c r="D28" s="46"/>
      <c r="E28" s="47">
        <v>18</v>
      </c>
      <c r="F28" s="50"/>
      <c r="G28" s="51"/>
      <c r="H28" s="51"/>
      <c r="I28" s="42"/>
      <c r="J28" s="103" t="s">
        <v>34</v>
      </c>
      <c r="K28" s="104"/>
      <c r="L28" s="106" t="str">
        <f t="shared" si="0"/>
        <v/>
      </c>
      <c r="M28" s="109" t="str">
        <f t="shared" si="1"/>
        <v/>
      </c>
      <c r="N28" s="101"/>
      <c r="O28" s="101"/>
      <c r="P28" s="101"/>
      <c r="Q28" s="101"/>
      <c r="R28" s="101"/>
      <c r="T28" s="101"/>
      <c r="U28" s="101">
        <v>1.75</v>
      </c>
      <c r="V28" s="101"/>
      <c r="W28" s="101">
        <v>1</v>
      </c>
      <c r="X28" s="101"/>
      <c r="Y28" s="101"/>
      <c r="Z28" s="101"/>
      <c r="AA28" s="101"/>
      <c r="AB28" s="101"/>
      <c r="AC28" s="101"/>
    </row>
    <row r="29" spans="1:29" s="22" customFormat="1" ht="18.75" customHeight="1">
      <c r="A29" s="41">
        <v>19</v>
      </c>
      <c r="B29" s="44"/>
      <c r="C29" s="45"/>
      <c r="D29" s="46" t="str">
        <f>IF(B29="","",VLOOKUP(B29,'price and cost sheet'!$A$3:$H$149,3,0))</f>
        <v/>
      </c>
      <c r="E29" s="52">
        <v>19</v>
      </c>
      <c r="F29" s="53"/>
      <c r="G29" s="54"/>
      <c r="H29" s="54"/>
      <c r="I29" s="112" t="s">
        <v>34</v>
      </c>
      <c r="J29" s="113" t="s">
        <v>34</v>
      </c>
      <c r="K29" s="104"/>
      <c r="L29" s="106" t="str">
        <f t="shared" si="0"/>
        <v/>
      </c>
      <c r="M29" s="109" t="str">
        <f t="shared" si="1"/>
        <v/>
      </c>
      <c r="N29" s="85"/>
      <c r="O29" s="85"/>
      <c r="P29" s="85"/>
      <c r="Q29" s="85"/>
      <c r="R29" s="85"/>
      <c r="S29" s="85"/>
      <c r="T29" s="85"/>
      <c r="U29" s="85">
        <v>2.5</v>
      </c>
      <c r="V29" s="85"/>
      <c r="W29" s="85">
        <v>0.75</v>
      </c>
      <c r="X29" s="85"/>
      <c r="Y29" s="85"/>
      <c r="Z29" s="85"/>
      <c r="AA29" s="85"/>
      <c r="AB29" s="85"/>
      <c r="AC29" s="85"/>
    </row>
    <row r="30" spans="1:29" s="22" customFormat="1" ht="18.75" customHeight="1">
      <c r="A30" s="41">
        <v>20</v>
      </c>
      <c r="B30" s="44"/>
      <c r="C30" s="45"/>
      <c r="D30" s="46" t="str">
        <f>IF(B30="","",VLOOKUP(B30,'price and cost sheet'!$A$3:$H$149,3,0))</f>
        <v/>
      </c>
      <c r="E30" s="173" t="s">
        <v>360</v>
      </c>
      <c r="F30" s="174"/>
      <c r="G30" s="174"/>
      <c r="H30" s="174"/>
      <c r="I30" s="174"/>
      <c r="J30" s="175"/>
      <c r="K30" s="23"/>
      <c r="L30" s="106" t="str">
        <f t="shared" si="0"/>
        <v/>
      </c>
      <c r="M30" s="109" t="str">
        <f t="shared" si="1"/>
        <v/>
      </c>
      <c r="N30" s="85"/>
      <c r="O30" s="85"/>
      <c r="P30" s="85"/>
      <c r="Q30" s="85"/>
      <c r="R30" s="85"/>
      <c r="S30" s="85"/>
      <c r="T30" s="85"/>
      <c r="U30" s="85">
        <v>2.25</v>
      </c>
      <c r="V30" s="85"/>
      <c r="W30" s="85">
        <v>1.25</v>
      </c>
      <c r="X30" s="85"/>
      <c r="Y30" s="85"/>
      <c r="Z30" s="85"/>
      <c r="AA30" s="85"/>
      <c r="AB30" s="85"/>
      <c r="AC30" s="85"/>
    </row>
    <row r="31" spans="1:29" s="22" customFormat="1" ht="18.75" customHeight="1">
      <c r="A31" s="41">
        <v>21</v>
      </c>
      <c r="B31" s="44"/>
      <c r="C31" s="45"/>
      <c r="D31" s="46" t="str">
        <f>IF(B31="","",VLOOKUP(B31,'price and cost sheet'!$A$3:$H$149,3,0))</f>
        <v/>
      </c>
      <c r="E31" s="41" t="s">
        <v>21</v>
      </c>
      <c r="F31" s="43" t="s">
        <v>364</v>
      </c>
      <c r="G31" s="171" t="s">
        <v>359</v>
      </c>
      <c r="H31" s="172"/>
      <c r="I31" s="176" t="s">
        <v>24</v>
      </c>
      <c r="J31" s="177"/>
      <c r="K31" s="23"/>
      <c r="L31" s="106" t="str">
        <f t="shared" si="0"/>
        <v/>
      </c>
      <c r="M31" s="109" t="str">
        <f t="shared" si="1"/>
        <v/>
      </c>
      <c r="N31" s="85"/>
      <c r="O31" s="85"/>
      <c r="P31" s="85"/>
      <c r="Q31" s="85"/>
      <c r="R31" s="85"/>
      <c r="S31" s="85"/>
      <c r="T31" s="85"/>
      <c r="U31" s="85">
        <v>3.25</v>
      </c>
      <c r="V31" s="85"/>
      <c r="W31" s="85">
        <v>1</v>
      </c>
      <c r="X31" s="85"/>
      <c r="Y31" s="85"/>
      <c r="Z31" s="85"/>
      <c r="AA31" s="85"/>
      <c r="AB31" s="85"/>
      <c r="AC31" s="85"/>
    </row>
    <row r="32" spans="1:29" s="22" customFormat="1" ht="18.75" customHeight="1">
      <c r="A32" s="41">
        <v>22</v>
      </c>
      <c r="B32" s="44"/>
      <c r="C32" s="45"/>
      <c r="D32" s="46" t="str">
        <f>IF(B32="","",VLOOKUP(B32,'price and cost sheet'!$A$3:$H$149,3,0))</f>
        <v/>
      </c>
      <c r="E32" s="47">
        <v>1</v>
      </c>
      <c r="F32" s="44" t="s">
        <v>35</v>
      </c>
      <c r="G32" s="178">
        <v>6</v>
      </c>
      <c r="H32" s="178"/>
      <c r="I32" s="179"/>
      <c r="J32" s="180"/>
      <c r="K32" s="23"/>
      <c r="L32" s="106" t="str">
        <f t="shared" si="0"/>
        <v/>
      </c>
      <c r="M32" s="109" t="str">
        <f t="shared" si="1"/>
        <v/>
      </c>
      <c r="N32" s="85"/>
      <c r="O32" s="85"/>
      <c r="P32" s="85"/>
      <c r="Q32" s="85"/>
      <c r="R32" s="85"/>
      <c r="S32" s="85"/>
      <c r="T32" s="85"/>
      <c r="U32" s="85">
        <v>1.75</v>
      </c>
      <c r="V32" s="85"/>
      <c r="W32" s="85">
        <v>0.5</v>
      </c>
      <c r="X32" s="85"/>
      <c r="Y32" s="85"/>
      <c r="Z32" s="85"/>
      <c r="AA32" s="85"/>
      <c r="AB32" s="85"/>
      <c r="AC32" s="85"/>
    </row>
    <row r="33" spans="1:45" s="22" customFormat="1" ht="18.75" customHeight="1">
      <c r="A33" s="41">
        <v>23</v>
      </c>
      <c r="B33" s="44"/>
      <c r="C33" s="45"/>
      <c r="D33" s="46" t="str">
        <f>IF(B33="","",VLOOKUP(B33,'price and cost sheet'!$A$3:$H$149,3,0))</f>
        <v/>
      </c>
      <c r="E33" s="47">
        <v>2</v>
      </c>
      <c r="F33" s="44" t="s">
        <v>36</v>
      </c>
      <c r="G33" s="178">
        <v>7</v>
      </c>
      <c r="H33" s="178"/>
      <c r="I33" s="179" t="str">
        <f>IF(F33="","",VLOOKUP(F33,'price and cost sheet'!$A$3:$H$149,3,0))</f>
        <v>次</v>
      </c>
      <c r="J33" s="180"/>
      <c r="K33" s="23"/>
      <c r="L33" s="106" t="str">
        <f t="shared" si="0"/>
        <v/>
      </c>
      <c r="M33" s="109" t="str">
        <f t="shared" si="1"/>
        <v/>
      </c>
      <c r="N33" s="85"/>
      <c r="O33" s="85"/>
      <c r="P33" s="85"/>
      <c r="Q33" s="85"/>
      <c r="R33" s="85"/>
      <c r="S33" s="85"/>
      <c r="T33" s="85"/>
      <c r="U33" s="85">
        <v>1.5</v>
      </c>
      <c r="V33" s="85"/>
      <c r="W33" s="85">
        <v>0.75</v>
      </c>
      <c r="X33" s="85"/>
      <c r="Y33" s="85"/>
      <c r="Z33" s="85"/>
      <c r="AA33" s="85"/>
      <c r="AB33" s="85"/>
      <c r="AC33" s="85"/>
    </row>
    <row r="34" spans="1:45" s="22" customFormat="1" ht="18.75" customHeight="1">
      <c r="A34" s="41">
        <v>24</v>
      </c>
      <c r="B34" s="44"/>
      <c r="C34" s="45"/>
      <c r="D34" s="46" t="str">
        <f>IF(B34="","",VLOOKUP(B34,'price and cost sheet'!$A$3:$H$149,3,0))</f>
        <v/>
      </c>
      <c r="E34" s="47">
        <v>3</v>
      </c>
      <c r="F34" s="42"/>
      <c r="G34" s="181"/>
      <c r="H34" s="181"/>
      <c r="I34" s="183"/>
      <c r="J34" s="180"/>
      <c r="K34" s="23"/>
      <c r="L34" s="106" t="str">
        <f t="shared" si="0"/>
        <v/>
      </c>
      <c r="M34" s="109" t="str">
        <f t="shared" si="1"/>
        <v/>
      </c>
      <c r="N34" s="85"/>
      <c r="O34" s="85"/>
      <c r="P34" s="85"/>
      <c r="Q34" s="85"/>
      <c r="R34" s="85"/>
      <c r="S34" s="85"/>
      <c r="T34" s="85"/>
      <c r="U34" s="85">
        <v>1.75</v>
      </c>
      <c r="V34" s="85"/>
      <c r="W34" s="85">
        <v>1</v>
      </c>
      <c r="X34" s="85"/>
      <c r="Y34" s="85"/>
      <c r="Z34" s="85"/>
      <c r="AA34" s="85"/>
      <c r="AB34" s="85"/>
      <c r="AC34" s="85"/>
    </row>
    <row r="35" spans="1:45" s="22" customFormat="1" ht="18.75" customHeight="1">
      <c r="A35" s="41">
        <v>25</v>
      </c>
      <c r="B35" s="44"/>
      <c r="C35" s="45"/>
      <c r="D35" s="46" t="str">
        <f>IF(B35="","",VLOOKUP(B35,'price and cost sheet'!$A$3:$H$149,3,0))</f>
        <v/>
      </c>
      <c r="E35" s="47">
        <v>4</v>
      </c>
      <c r="F35" s="42"/>
      <c r="G35" s="181"/>
      <c r="H35" s="181"/>
      <c r="I35" s="181"/>
      <c r="J35" s="182"/>
      <c r="K35" s="16"/>
      <c r="L35" s="106" t="str">
        <f t="shared" si="0"/>
        <v/>
      </c>
      <c r="M35" s="109" t="str">
        <f t="shared" si="1"/>
        <v/>
      </c>
      <c r="N35" s="85"/>
      <c r="O35" s="85"/>
      <c r="P35" s="85"/>
      <c r="Q35" s="85"/>
      <c r="R35" s="85"/>
      <c r="S35" s="85"/>
      <c r="T35" s="85"/>
      <c r="U35" s="85">
        <v>1.25</v>
      </c>
      <c r="V35" s="85"/>
      <c r="W35" s="85">
        <v>1.25</v>
      </c>
      <c r="X35" s="85"/>
      <c r="Y35" s="85"/>
      <c r="Z35" s="85"/>
      <c r="AA35" s="85"/>
      <c r="AB35" s="85"/>
      <c r="AC35" s="85"/>
    </row>
    <row r="36" spans="1:45" s="22" customFormat="1" ht="18.75" customHeight="1">
      <c r="A36" s="41">
        <v>26</v>
      </c>
      <c r="B36" s="44"/>
      <c r="C36" s="45"/>
      <c r="D36" s="46" t="str">
        <f>IF(B36="","",VLOOKUP(B36,'price and cost sheet'!$A$3:$H$149,3,0))</f>
        <v/>
      </c>
      <c r="E36" s="47">
        <v>5</v>
      </c>
      <c r="F36" s="56" t="s">
        <v>37</v>
      </c>
      <c r="G36" s="181"/>
      <c r="H36" s="181"/>
      <c r="I36" s="181" t="s">
        <v>38</v>
      </c>
      <c r="J36" s="182"/>
      <c r="K36" s="16"/>
      <c r="L36" s="106" t="str">
        <f t="shared" si="0"/>
        <v/>
      </c>
      <c r="M36" s="109" t="str">
        <f t="shared" si="1"/>
        <v/>
      </c>
      <c r="N36" s="85"/>
      <c r="O36" s="85"/>
      <c r="P36" s="85"/>
      <c r="Q36" s="85"/>
      <c r="R36" s="85"/>
      <c r="S36" s="85"/>
      <c r="T36" s="85"/>
      <c r="U36" s="85">
        <v>1.5</v>
      </c>
      <c r="V36" s="85"/>
      <c r="W36" s="85">
        <v>1.25</v>
      </c>
      <c r="X36" s="85"/>
      <c r="Y36" s="85"/>
      <c r="Z36" s="85"/>
      <c r="AA36" s="85"/>
      <c r="AB36" s="85"/>
      <c r="AC36" s="85"/>
    </row>
    <row r="37" spans="1:45" s="22" customFormat="1" ht="18.75" customHeight="1">
      <c r="A37" s="41">
        <v>27</v>
      </c>
      <c r="B37" s="44"/>
      <c r="C37" s="45"/>
      <c r="D37" s="46" t="str">
        <f>IF(B37="","",VLOOKUP(B37,'price and cost sheet'!$A$3:$H$149,3,0))</f>
        <v/>
      </c>
      <c r="E37" s="47">
        <v>6</v>
      </c>
      <c r="F37" s="56" t="s">
        <v>39</v>
      </c>
      <c r="G37" s="181"/>
      <c r="H37" s="181"/>
      <c r="I37" s="181" t="s">
        <v>38</v>
      </c>
      <c r="J37" s="182"/>
      <c r="K37" s="16"/>
      <c r="L37" s="106" t="str">
        <f t="shared" si="0"/>
        <v/>
      </c>
      <c r="M37" s="109" t="str">
        <f t="shared" si="1"/>
        <v/>
      </c>
      <c r="N37" s="85"/>
      <c r="O37" s="85"/>
      <c r="P37" s="85"/>
      <c r="Q37" s="85"/>
      <c r="R37" s="85"/>
      <c r="S37" s="85"/>
      <c r="T37" s="85"/>
      <c r="U37" s="85">
        <v>1.25</v>
      </c>
      <c r="V37" s="85"/>
      <c r="W37" s="85">
        <v>1.5</v>
      </c>
      <c r="X37" s="85"/>
      <c r="Y37" s="85"/>
      <c r="Z37" s="85"/>
      <c r="AA37" s="85"/>
      <c r="AB37" s="85"/>
      <c r="AC37" s="85"/>
    </row>
    <row r="38" spans="1:45" s="22" customFormat="1" ht="18.75" customHeight="1">
      <c r="A38" s="57">
        <v>28</v>
      </c>
      <c r="B38" s="58"/>
      <c r="C38" s="59"/>
      <c r="D38" s="60" t="str">
        <f>IF(B38="","",VLOOKUP(B38,'price and cost sheet'!$A$3:$H$149,3,0))</f>
        <v/>
      </c>
      <c r="E38" s="47">
        <v>7</v>
      </c>
      <c r="F38" s="56" t="s">
        <v>40</v>
      </c>
      <c r="G38" s="181"/>
      <c r="H38" s="181"/>
      <c r="I38" s="181" t="s">
        <v>38</v>
      </c>
      <c r="J38" s="182"/>
      <c r="K38" s="16"/>
      <c r="L38" s="106" t="str">
        <f t="shared" si="0"/>
        <v/>
      </c>
      <c r="M38" s="109" t="str">
        <f t="shared" si="1"/>
        <v/>
      </c>
      <c r="N38" s="85"/>
      <c r="O38" s="85"/>
      <c r="P38" s="85"/>
      <c r="Q38" s="85"/>
      <c r="R38" s="85"/>
      <c r="S38" s="85"/>
      <c r="T38" s="85"/>
      <c r="U38" s="85">
        <v>2.5</v>
      </c>
      <c r="V38" s="85"/>
      <c r="W38" s="85"/>
      <c r="X38" s="85"/>
      <c r="Y38" s="85"/>
      <c r="Z38" s="85"/>
      <c r="AA38" s="85"/>
      <c r="AB38" s="85"/>
      <c r="AC38" s="85"/>
    </row>
    <row r="39" spans="1:45" s="22" customFormat="1" ht="18.75" customHeight="1">
      <c r="A39" s="205" t="s">
        <v>41</v>
      </c>
      <c r="B39" s="206"/>
      <c r="C39" s="207" t="s">
        <v>42</v>
      </c>
      <c r="D39" s="207"/>
      <c r="E39" s="47">
        <v>8</v>
      </c>
      <c r="F39" s="61" t="s">
        <v>43</v>
      </c>
      <c r="G39" s="181"/>
      <c r="H39" s="181"/>
      <c r="I39" s="181" t="s">
        <v>38</v>
      </c>
      <c r="J39" s="182"/>
      <c r="K39" s="16"/>
      <c r="L39" s="85"/>
      <c r="M39" s="85"/>
      <c r="N39" s="85"/>
      <c r="O39" s="85"/>
      <c r="P39" s="85"/>
      <c r="Q39" s="85"/>
      <c r="R39" s="85"/>
      <c r="S39" s="85"/>
      <c r="T39" s="85"/>
      <c r="U39" s="85">
        <v>2.5</v>
      </c>
      <c r="V39" s="85"/>
      <c r="W39" s="85"/>
      <c r="X39" s="85"/>
      <c r="Y39" s="85"/>
      <c r="Z39" s="85"/>
      <c r="AA39" s="85"/>
      <c r="AB39" s="85"/>
      <c r="AC39" s="85"/>
    </row>
    <row r="40" spans="1:45" s="22" customFormat="1" ht="18.75" customHeight="1">
      <c r="A40" s="185" t="s">
        <v>44</v>
      </c>
      <c r="B40" s="186"/>
      <c r="C40" s="187">
        <v>7</v>
      </c>
      <c r="D40" s="188"/>
      <c r="E40" s="47">
        <v>9</v>
      </c>
      <c r="F40" s="61"/>
      <c r="G40" s="181"/>
      <c r="H40" s="181"/>
      <c r="I40" s="181"/>
      <c r="J40" s="182"/>
      <c r="K40" s="16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</row>
    <row r="41" spans="1:45" s="23" customFormat="1" ht="18.75" customHeight="1">
      <c r="A41" s="185"/>
      <c r="B41" s="186"/>
      <c r="C41" s="187"/>
      <c r="D41" s="188"/>
      <c r="E41" s="62">
        <v>10</v>
      </c>
      <c r="F41" s="63"/>
      <c r="G41" s="189"/>
      <c r="H41" s="190"/>
      <c r="I41" s="189"/>
      <c r="J41" s="191"/>
      <c r="K41" s="1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45" s="23" customFormat="1" ht="18.75" customHeight="1">
      <c r="A42" s="192"/>
      <c r="B42" s="193"/>
      <c r="C42" s="194"/>
      <c r="D42" s="195"/>
      <c r="E42" s="47">
        <v>11</v>
      </c>
      <c r="F42" s="63"/>
      <c r="G42" s="189"/>
      <c r="H42" s="190"/>
      <c r="I42" s="189"/>
      <c r="J42" s="191"/>
      <c r="K42" s="11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45" s="20" customFormat="1" ht="43.8" customHeight="1">
      <c r="A43" s="168" t="s">
        <v>365</v>
      </c>
      <c r="B43" s="199"/>
      <c r="C43" s="169"/>
      <c r="D43" s="169"/>
      <c r="E43" s="200" t="s">
        <v>357</v>
      </c>
      <c r="F43" s="201"/>
      <c r="G43" s="201"/>
      <c r="H43" s="201"/>
      <c r="I43" s="201"/>
      <c r="J43" s="202"/>
      <c r="K43" s="16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</row>
    <row r="44" spans="1:45" s="21" customFormat="1" ht="32.25" customHeight="1">
      <c r="A44" s="64" t="s">
        <v>21</v>
      </c>
      <c r="B44" s="43" t="s">
        <v>358</v>
      </c>
      <c r="C44" s="43" t="s">
        <v>359</v>
      </c>
      <c r="D44" s="42" t="s">
        <v>24</v>
      </c>
      <c r="E44" s="41" t="s">
        <v>21</v>
      </c>
      <c r="F44" s="43" t="s">
        <v>358</v>
      </c>
      <c r="G44" s="43" t="s">
        <v>362</v>
      </c>
      <c r="H44" s="43" t="s">
        <v>363</v>
      </c>
      <c r="I44" s="42" t="s">
        <v>361</v>
      </c>
      <c r="J44" s="115" t="s">
        <v>24</v>
      </c>
      <c r="K44" s="16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</row>
    <row r="45" spans="1:45" s="23" customFormat="1" ht="23.25" customHeight="1">
      <c r="A45" s="65">
        <v>1</v>
      </c>
      <c r="B45" s="66" t="s">
        <v>45</v>
      </c>
      <c r="C45" s="67">
        <v>8</v>
      </c>
      <c r="D45" s="68"/>
      <c r="E45" s="69">
        <v>1</v>
      </c>
      <c r="F45" s="70" t="s">
        <v>46</v>
      </c>
      <c r="G45" s="48">
        <v>45838</v>
      </c>
      <c r="H45" s="48">
        <v>45840</v>
      </c>
      <c r="I45" s="116">
        <f>IF(OR(F45="",F45=""),"",H45-G45+1)</f>
        <v>3</v>
      </c>
      <c r="J45" s="117" t="str">
        <f>IF(F45="","",VLOOKUP(F45,'price and cost sheet'!$A$3:$H$149,3,0))</f>
        <v>人·天</v>
      </c>
      <c r="K45" s="16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45" s="23" customFormat="1" ht="23.25" customHeight="1">
      <c r="A46" s="65">
        <v>2</v>
      </c>
      <c r="B46" s="66"/>
      <c r="C46" s="67"/>
      <c r="D46" s="68"/>
      <c r="E46" s="71">
        <v>2</v>
      </c>
      <c r="F46" s="70" t="s">
        <v>46</v>
      </c>
      <c r="G46" s="48">
        <v>45838</v>
      </c>
      <c r="H46" s="48">
        <v>45840</v>
      </c>
      <c r="I46" s="116">
        <f>IF(OR(F46="",F46=""),"",H46-G46+1)</f>
        <v>3</v>
      </c>
      <c r="J46" s="117" t="str">
        <f>IF(F46="","",VLOOKUP(F46,'price and cost sheet'!$A$3:$H$149,3,0))</f>
        <v>人·天</v>
      </c>
      <c r="K46" s="16"/>
      <c r="L46" s="20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I46" s="203"/>
      <c r="AJ46" s="203"/>
    </row>
    <row r="47" spans="1:45" s="23" customFormat="1" ht="23.25" customHeight="1">
      <c r="A47" s="65">
        <v>3</v>
      </c>
      <c r="B47" s="66"/>
      <c r="C47" s="67"/>
      <c r="D47" s="68"/>
      <c r="E47" s="69">
        <v>3</v>
      </c>
      <c r="F47" s="70"/>
      <c r="G47" s="48"/>
      <c r="H47" s="48"/>
      <c r="I47" s="116" t="str">
        <f>IF(OR(F47="",F47=""),"",H47-G47+1)</f>
        <v/>
      </c>
      <c r="J47" s="117" t="str">
        <f>IF(F47="","",VLOOKUP(F47,'price and cost sheet'!$A$3:$H$149,3,0))</f>
        <v/>
      </c>
      <c r="K47" s="16"/>
      <c r="L47" s="204"/>
      <c r="M47" s="24"/>
      <c r="N47" s="24"/>
      <c r="O47" s="24"/>
      <c r="P47" s="24"/>
      <c r="Q47" s="24"/>
      <c r="R47" s="102"/>
      <c r="S47" s="24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42"/>
      <c r="AE47" s="143"/>
      <c r="AF47" s="143"/>
      <c r="AG47" s="143"/>
      <c r="AH47" s="143"/>
    </row>
    <row r="48" spans="1:45" s="23" customFormat="1" ht="23.25" customHeight="1">
      <c r="A48" s="65">
        <v>4</v>
      </c>
      <c r="B48" s="66"/>
      <c r="C48" s="67"/>
      <c r="D48" s="68"/>
      <c r="E48" s="71">
        <v>4</v>
      </c>
      <c r="F48" s="70"/>
      <c r="G48" s="48"/>
      <c r="H48" s="48"/>
      <c r="I48" s="116" t="str">
        <f t="shared" ref="I48:I51" si="2">IF(OR(F48="",F48=""),"",H48-G48+1)</f>
        <v/>
      </c>
      <c r="J48" s="117" t="str">
        <f>IF(F48="","",VLOOKUP(F48,'price and cost sheet'!$A$3:$H$149,3,0))</f>
        <v/>
      </c>
      <c r="K48" s="16"/>
      <c r="L48" s="184"/>
      <c r="M48" s="118"/>
      <c r="N48" s="118"/>
      <c r="O48" s="119"/>
      <c r="P48" s="118"/>
      <c r="Q48" s="133"/>
      <c r="R48" s="133"/>
      <c r="S48" s="133"/>
      <c r="T48" s="133"/>
      <c r="U48" s="134"/>
      <c r="V48" s="134"/>
      <c r="W48" s="134"/>
      <c r="X48" s="135"/>
      <c r="Y48" s="144"/>
      <c r="Z48" s="133"/>
      <c r="AA48" s="133"/>
      <c r="AB48" s="133"/>
      <c r="AC48" s="133"/>
      <c r="AD48" s="145"/>
      <c r="AE48" s="146"/>
      <c r="AF48" s="146"/>
      <c r="AG48" s="146"/>
      <c r="AH48" s="149"/>
      <c r="AI48" s="146"/>
      <c r="AJ48" s="146"/>
      <c r="AK48" s="145"/>
      <c r="AL48" s="145"/>
      <c r="AM48" s="150"/>
      <c r="AN48" s="151"/>
      <c r="AO48" s="154"/>
      <c r="AP48" s="155"/>
      <c r="AQ48" s="156"/>
      <c r="AR48" s="157"/>
      <c r="AS48" s="158"/>
    </row>
    <row r="49" spans="1:45" s="23" customFormat="1" ht="23.25" customHeight="1">
      <c r="A49" s="65">
        <v>5</v>
      </c>
      <c r="B49" s="66"/>
      <c r="C49" s="67"/>
      <c r="D49" s="68"/>
      <c r="E49" s="69">
        <v>5</v>
      </c>
      <c r="F49" s="70"/>
      <c r="G49" s="48"/>
      <c r="H49" s="48"/>
      <c r="I49" s="116" t="str">
        <f t="shared" si="2"/>
        <v/>
      </c>
      <c r="J49" s="117" t="str">
        <f>IF(F49="","",VLOOKUP(F49,'price and cost sheet'!$A$3:$H$149,3,0))</f>
        <v/>
      </c>
      <c r="K49" s="16"/>
      <c r="L49" s="184"/>
      <c r="M49" s="118"/>
      <c r="N49" s="118"/>
      <c r="O49" s="119"/>
      <c r="P49" s="118"/>
      <c r="Q49" s="133"/>
      <c r="R49" s="136"/>
      <c r="S49" s="133"/>
      <c r="T49" s="24"/>
      <c r="U49" s="133"/>
      <c r="V49" s="133"/>
      <c r="W49" s="137"/>
      <c r="X49" s="134"/>
      <c r="Y49" s="147"/>
      <c r="Z49" s="133"/>
      <c r="AA49" s="133"/>
      <c r="AB49" s="133"/>
      <c r="AC49" s="133"/>
      <c r="AD49" s="145"/>
      <c r="AE49" s="146"/>
      <c r="AF49" s="146"/>
      <c r="AG49" s="146"/>
      <c r="AH49" s="149"/>
      <c r="AI49" s="146"/>
      <c r="AJ49" s="146"/>
      <c r="AK49" s="145"/>
      <c r="AL49" s="145"/>
      <c r="AM49" s="150"/>
      <c r="AN49" s="152"/>
      <c r="AO49" s="154"/>
      <c r="AP49" s="159"/>
      <c r="AQ49" s="156"/>
      <c r="AR49" s="157"/>
      <c r="AS49" s="160"/>
    </row>
    <row r="50" spans="1:45" s="23" customFormat="1" ht="23.25" customHeight="1">
      <c r="A50" s="65">
        <v>6</v>
      </c>
      <c r="B50" s="66"/>
      <c r="C50" s="67"/>
      <c r="D50" s="68" t="str">
        <f>IF(B50="","",VLOOKUP(B50,'price and cost sheet'!$A$3:$H$149,3,0))</f>
        <v/>
      </c>
      <c r="E50" s="71">
        <v>6</v>
      </c>
      <c r="F50" s="72"/>
      <c r="G50" s="48"/>
      <c r="H50" s="48"/>
      <c r="I50" s="116" t="str">
        <f t="shared" si="2"/>
        <v/>
      </c>
      <c r="J50" s="117" t="str">
        <f>IF(F50="","",VLOOKUP(F50,'price and cost sheet'!$A$3:$H$149,3,0))</f>
        <v/>
      </c>
      <c r="K50" s="16"/>
      <c r="L50" s="184"/>
      <c r="M50" s="119"/>
      <c r="N50" s="118"/>
      <c r="O50" s="120"/>
      <c r="P50" s="118"/>
      <c r="Q50" s="119"/>
      <c r="R50" s="119"/>
      <c r="S50" s="118"/>
      <c r="T50" s="133"/>
      <c r="U50" s="133"/>
      <c r="V50" s="133"/>
      <c r="W50" s="138"/>
      <c r="X50" s="134"/>
      <c r="Y50" s="144"/>
      <c r="Z50" s="118"/>
      <c r="AA50" s="119"/>
      <c r="AB50" s="119"/>
      <c r="AC50" s="119"/>
      <c r="AD50" s="148"/>
      <c r="AE50" s="146"/>
      <c r="AF50" s="146"/>
      <c r="AG50" s="148"/>
      <c r="AH50" s="149"/>
      <c r="AI50" s="148"/>
      <c r="AJ50" s="153"/>
      <c r="AK50" s="153"/>
      <c r="AL50" s="148"/>
      <c r="AM50" s="148"/>
      <c r="AN50" s="153"/>
      <c r="AO50" s="154"/>
      <c r="AP50" s="159"/>
      <c r="AQ50" s="156"/>
      <c r="AR50" s="157"/>
      <c r="AS50" s="148"/>
    </row>
    <row r="51" spans="1:45" s="23" customFormat="1" ht="23.25" customHeight="1">
      <c r="A51" s="73">
        <v>7</v>
      </c>
      <c r="B51" s="74"/>
      <c r="C51" s="75"/>
      <c r="D51" s="76" t="str">
        <f>IF(B51="","",VLOOKUP(B51,'price and cost sheet'!$A$3:$H$149,3,0))</f>
        <v/>
      </c>
      <c r="E51" s="77">
        <v>7</v>
      </c>
      <c r="F51" s="78"/>
      <c r="G51" s="79"/>
      <c r="H51" s="79"/>
      <c r="I51" s="121" t="str">
        <f t="shared" si="2"/>
        <v/>
      </c>
      <c r="J51" s="122" t="str">
        <f>IF(F51="","",VLOOKUP(F51,'price and cost sheet'!$A$3:$H$149,3,0))</f>
        <v/>
      </c>
      <c r="K51" s="16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45" ht="36" customHeight="1">
      <c r="D52" s="80"/>
    </row>
    <row r="53" spans="1:45" ht="36" customHeight="1">
      <c r="B53" s="81"/>
    </row>
    <row r="54" spans="1:45" ht="36" customHeight="1">
      <c r="B54" s="82"/>
    </row>
    <row r="55" spans="1:45" ht="36" customHeight="1">
      <c r="B55" s="3"/>
    </row>
    <row r="56" spans="1:45" ht="36" customHeight="1">
      <c r="B56" s="3"/>
    </row>
    <row r="57" spans="1:45" ht="36" customHeight="1">
      <c r="B57" s="3"/>
    </row>
    <row r="58" spans="1:45" ht="36" customHeight="1">
      <c r="B58" s="3"/>
    </row>
    <row r="59" spans="1:45" ht="36" customHeight="1">
      <c r="B59" s="3"/>
    </row>
    <row r="60" spans="1:45" ht="36" customHeight="1">
      <c r="B60" s="3"/>
    </row>
    <row r="61" spans="1:45" ht="36" customHeight="1">
      <c r="B61" s="3"/>
    </row>
    <row r="62" spans="1:45" ht="36" customHeight="1">
      <c r="B62" s="3"/>
    </row>
    <row r="63" spans="1:45" ht="36" customHeight="1">
      <c r="B63" s="3"/>
    </row>
    <row r="64" spans="1:45" ht="36" customHeight="1">
      <c r="B64" s="3"/>
    </row>
    <row r="65" spans="2:2" ht="36" customHeight="1">
      <c r="B65" s="3"/>
    </row>
    <row r="66" spans="2:2" ht="36" customHeight="1">
      <c r="B66" s="3"/>
    </row>
    <row r="67" spans="2:2" ht="36" customHeight="1">
      <c r="B67" s="3"/>
    </row>
    <row r="68" spans="2:2" ht="36" customHeight="1">
      <c r="B68" s="3"/>
    </row>
    <row r="69" spans="2:2" ht="36" customHeight="1">
      <c r="B69" s="3"/>
    </row>
    <row r="70" spans="2:2" ht="36" customHeight="1">
      <c r="B70" s="3"/>
    </row>
    <row r="71" spans="2:2" ht="36" customHeight="1">
      <c r="B71" s="3"/>
    </row>
    <row r="72" spans="2:2" ht="36" customHeight="1">
      <c r="B72" s="3"/>
    </row>
    <row r="73" spans="2:2" ht="36" customHeight="1">
      <c r="B73" s="3"/>
    </row>
    <row r="74" spans="2:2" ht="36" customHeight="1">
      <c r="B74" s="3"/>
    </row>
    <row r="75" spans="2:2" ht="36" customHeight="1">
      <c r="B75" s="3"/>
    </row>
  </sheetData>
  <sheetProtection formatCells="0" formatColumns="0" formatRows="0" insertColumns="0" insertRows="0" insertHyperlinks="0" deleteColumns="0" deleteRows="0" selectLockedCells="1" sort="0" autoFilter="0" pivotTables="0"/>
  <mergeCells count="46">
    <mergeCell ref="P5:P8"/>
    <mergeCell ref="Q5:Q8"/>
    <mergeCell ref="A43:D43"/>
    <mergeCell ref="E43:J43"/>
    <mergeCell ref="AI46:AJ46"/>
    <mergeCell ref="L46:L47"/>
    <mergeCell ref="A39:B39"/>
    <mergeCell ref="C39:D39"/>
    <mergeCell ref="G39:H39"/>
    <mergeCell ref="I39:J39"/>
    <mergeCell ref="A40:B40"/>
    <mergeCell ref="C40:D40"/>
    <mergeCell ref="G40:H40"/>
    <mergeCell ref="I40:J40"/>
    <mergeCell ref="G36:H36"/>
    <mergeCell ref="I36:J36"/>
    <mergeCell ref="L48:L50"/>
    <mergeCell ref="A41:B41"/>
    <mergeCell ref="C41:D41"/>
    <mergeCell ref="G41:H41"/>
    <mergeCell ref="I41:J41"/>
    <mergeCell ref="A42:B42"/>
    <mergeCell ref="C42:D42"/>
    <mergeCell ref="G42:H42"/>
    <mergeCell ref="I42:J42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10:H10"/>
    <mergeCell ref="E30:J30"/>
    <mergeCell ref="G31:H31"/>
    <mergeCell ref="I31:J31"/>
    <mergeCell ref="G32:H32"/>
    <mergeCell ref="I32:J32"/>
    <mergeCell ref="A2:J2"/>
    <mergeCell ref="A5:J5"/>
    <mergeCell ref="D7:E7"/>
    <mergeCell ref="A9:D9"/>
    <mergeCell ref="E9:J9"/>
  </mergeCells>
  <dataValidations count="3">
    <dataValidation type="list" allowBlank="1" showInputMessage="1" showErrorMessage="1" sqref="H7" xr:uid="{00000000-0002-0000-0000-000001000000}">
      <formula1>"弃井,钻井,完井,修井,试油"</formula1>
    </dataValidation>
    <dataValidation type="list" allowBlank="1" showInputMessage="1" showErrorMessage="1" sqref="F32 F33" xr:uid="{00000000-0002-0000-0000-000003000000}">
      <formula1>"化验,生物毒性检验"</formula1>
    </dataValidation>
    <dataValidation allowBlank="1" showInputMessage="1" showErrorMessage="1" sqref="F34:F35" xr:uid="{00000000-0002-0000-0000-000007000000}"/>
  </dataValidations>
  <printOptions horizontalCentered="1"/>
  <pageMargins left="0.55000000000000004" right="0.55000000000000004" top="0.59027777777777801" bottom="0" header="0.31388888888888899" footer="0"/>
  <pageSetup paperSize="9" scale="60" orientation="portrait" horizontalDpi="360"/>
  <headerFooter alignWithMargins="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'price and cost sheet'!$A$123:$A$124</xm:f>
          </x14:formula1>
          <xm:sqref>F45:F51</xm:sqref>
        </x14:dataValidation>
        <x14:dataValidation type="list" allowBlank="1" showInputMessage="1" showErrorMessage="1" xr:uid="{00000000-0002-0000-0000-000002000000}">
          <x14:formula1>
            <xm:f>'price and cost sheet'!$A$3:$A$122</xm:f>
          </x14:formula1>
          <xm:sqref>B17 B18 B19 B20 B21 B22 B23 B24 B25 B28 B29 B15:B16 B26:B27 B30:B31 B32:B38</xm:sqref>
        </x14:dataValidation>
        <x14:dataValidation type="list" allowBlank="1" showInputMessage="1" showErrorMessage="1" xr:uid="{00000000-0002-0000-0000-000004000000}">
          <x14:formula1>
            <xm:f>体系折扣表!$A$4:$A$24</xm:f>
          </x14:formula1>
          <xm:sqref>C39:D39</xm:sqref>
        </x14:dataValidation>
        <x14:dataValidation type="list" allowBlank="1" showInputMessage="1" showErrorMessage="1" xr:uid="{00000000-0002-0000-0000-000005000000}">
          <x14:formula1>
            <xm:f>'price and cost sheet'!$A$125</xm:f>
          </x14:formula1>
          <xm:sqref>F11:F15</xm:sqref>
        </x14:dataValidation>
        <x14:dataValidation type="list" allowBlank="1" showInputMessage="1" showErrorMessage="1" xr:uid="{00000000-0002-0000-0000-000006000000}">
          <x14:formula1>
            <xm:f>'price and cost sheet'!$A$136:$A$141</xm:f>
          </x14:formula1>
          <xm:sqref>B45:B51</xm:sqref>
        </x14:dataValidation>
        <x14:dataValidation type="list" allowBlank="1" showInputMessage="1" showErrorMessage="1" xr:uid="{00000000-0002-0000-0000-000008000000}">
          <x14:formula1>
            <xm:f>'price and cost sheet'!$A$127:$A$129</xm:f>
          </x14:formula1>
          <xm:sqref>A40:B42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11">
    <tabColor rgb="FFC00000"/>
  </sheetPr>
  <dimension ref="A1:K142"/>
  <sheetViews>
    <sheetView tabSelected="1" topLeftCell="A76" zoomScale="124" zoomScaleNormal="149" workbookViewId="0">
      <selection activeCell="I130" sqref="I130"/>
    </sheetView>
  </sheetViews>
  <sheetFormatPr defaultColWidth="9" defaultRowHeight="14.25" customHeight="1"/>
  <cols>
    <col min="1" max="2" width="19.09765625" style="1" customWidth="1"/>
    <col min="3" max="3" width="12.8984375" style="1" customWidth="1"/>
    <col min="4" max="4" width="26.8984375" style="1" customWidth="1"/>
    <col min="5" max="5" width="19.09765625" style="1" hidden="1" customWidth="1"/>
    <col min="6" max="6" width="19.09765625" style="1" customWidth="1"/>
    <col min="7" max="7" width="9" style="1"/>
    <col min="8" max="8" width="9" style="1" customWidth="1"/>
    <col min="9" max="11" width="11.59765625" style="1" customWidth="1"/>
    <col min="12" max="16384" width="9" style="1"/>
  </cols>
  <sheetData>
    <row r="1" spans="1:8" ht="14.25" customHeight="1">
      <c r="A1" s="2"/>
      <c r="B1" s="2"/>
      <c r="C1" s="2"/>
      <c r="D1" s="2"/>
      <c r="E1" s="2"/>
      <c r="F1" s="2"/>
      <c r="G1" s="2"/>
      <c r="H1" s="2"/>
    </row>
    <row r="2" spans="1:8" ht="14.25" customHeight="1">
      <c r="A2" s="6" t="s">
        <v>47</v>
      </c>
      <c r="B2" s="7" t="s">
        <v>48</v>
      </c>
      <c r="C2" s="6" t="s">
        <v>49</v>
      </c>
      <c r="D2" s="8" t="s">
        <v>50</v>
      </c>
      <c r="E2" s="9" t="s">
        <v>51</v>
      </c>
      <c r="F2" s="2"/>
      <c r="G2" s="2"/>
      <c r="H2" s="2"/>
    </row>
    <row r="3" spans="1:8" ht="14.25" customHeight="1">
      <c r="A3" s="10" t="s">
        <v>353</v>
      </c>
      <c r="B3" s="11">
        <v>10</v>
      </c>
      <c r="C3" s="12" t="s">
        <v>354</v>
      </c>
      <c r="D3" s="11">
        <v>1</v>
      </c>
      <c r="E3" s="13" t="s">
        <v>52</v>
      </c>
      <c r="F3" s="14"/>
      <c r="G3" s="15"/>
    </row>
    <row r="4" spans="1:8" ht="14.25" customHeight="1">
      <c r="A4" s="10" t="s">
        <v>53</v>
      </c>
      <c r="B4" s="11">
        <v>11</v>
      </c>
      <c r="C4" s="12" t="s">
        <v>29</v>
      </c>
      <c r="D4" s="11">
        <v>2</v>
      </c>
      <c r="E4" s="13" t="s">
        <v>54</v>
      </c>
      <c r="F4" s="14"/>
      <c r="G4" s="15"/>
    </row>
    <row r="5" spans="1:8" ht="14.25" customHeight="1">
      <c r="A5" s="10" t="s">
        <v>55</v>
      </c>
      <c r="B5" s="11">
        <v>12</v>
      </c>
      <c r="C5" s="12" t="s">
        <v>29</v>
      </c>
      <c r="D5" s="11">
        <v>3</v>
      </c>
      <c r="E5" s="13" t="s">
        <v>56</v>
      </c>
      <c r="F5" s="14"/>
      <c r="G5" s="15"/>
    </row>
    <row r="6" spans="1:8" ht="14.25" customHeight="1">
      <c r="A6" s="10" t="s">
        <v>57</v>
      </c>
      <c r="B6" s="11">
        <v>13</v>
      </c>
      <c r="C6" s="12" t="s">
        <v>29</v>
      </c>
      <c r="D6" s="11">
        <v>4</v>
      </c>
      <c r="E6" s="13" t="s">
        <v>58</v>
      </c>
      <c r="F6" s="14"/>
      <c r="G6" s="15"/>
    </row>
    <row r="7" spans="1:8" ht="14.25" customHeight="1">
      <c r="A7" s="10" t="s">
        <v>59</v>
      </c>
      <c r="B7" s="11">
        <v>14</v>
      </c>
      <c r="C7" s="12" t="s">
        <v>29</v>
      </c>
      <c r="D7" s="11">
        <v>5</v>
      </c>
      <c r="E7" s="13" t="s">
        <v>60</v>
      </c>
      <c r="F7" s="14"/>
      <c r="G7" s="15"/>
    </row>
    <row r="8" spans="1:8" ht="14.25" customHeight="1">
      <c r="A8" s="10" t="s">
        <v>61</v>
      </c>
      <c r="B8" s="11">
        <v>15</v>
      </c>
      <c r="C8" s="12" t="s">
        <v>29</v>
      </c>
      <c r="D8" s="11">
        <v>6</v>
      </c>
      <c r="E8" s="13" t="s">
        <v>62</v>
      </c>
      <c r="F8" s="14"/>
      <c r="G8" s="15"/>
    </row>
    <row r="9" spans="1:8" ht="14.25" customHeight="1">
      <c r="A9" s="10" t="s">
        <v>63</v>
      </c>
      <c r="B9" s="11">
        <v>16</v>
      </c>
      <c r="C9" s="12" t="s">
        <v>29</v>
      </c>
      <c r="D9" s="11">
        <v>7</v>
      </c>
      <c r="E9" s="13" t="s">
        <v>64</v>
      </c>
      <c r="F9" s="14"/>
      <c r="G9" s="15"/>
    </row>
    <row r="10" spans="1:8" ht="14.25" customHeight="1">
      <c r="A10" s="10" t="s">
        <v>65</v>
      </c>
      <c r="B10" s="11">
        <v>17</v>
      </c>
      <c r="C10" s="12" t="s">
        <v>29</v>
      </c>
      <c r="D10" s="11">
        <v>8</v>
      </c>
      <c r="E10" s="13" t="s">
        <v>66</v>
      </c>
      <c r="F10" s="14"/>
      <c r="G10" s="15"/>
    </row>
    <row r="11" spans="1:8" ht="14.25" customHeight="1">
      <c r="A11" s="10" t="s">
        <v>67</v>
      </c>
      <c r="B11" s="11">
        <v>18</v>
      </c>
      <c r="C11" s="12" t="s">
        <v>29</v>
      </c>
      <c r="D11" s="11">
        <v>9</v>
      </c>
      <c r="E11" s="13" t="s">
        <v>68</v>
      </c>
      <c r="F11" s="14"/>
      <c r="G11" s="15"/>
    </row>
    <row r="12" spans="1:8" ht="14.25" customHeight="1">
      <c r="A12" s="10" t="s">
        <v>69</v>
      </c>
      <c r="B12" s="11">
        <v>19</v>
      </c>
      <c r="C12" s="12" t="s">
        <v>29</v>
      </c>
      <c r="D12" s="11">
        <v>10</v>
      </c>
      <c r="E12" s="13" t="s">
        <v>70</v>
      </c>
      <c r="F12" s="14"/>
      <c r="G12" s="15"/>
    </row>
    <row r="13" spans="1:8" ht="14.25" customHeight="1">
      <c r="A13" s="10" t="s">
        <v>71</v>
      </c>
      <c r="B13" s="11">
        <v>20</v>
      </c>
      <c r="C13" s="12" t="s">
        <v>29</v>
      </c>
      <c r="D13" s="11">
        <v>11</v>
      </c>
      <c r="E13" s="13" t="s">
        <v>72</v>
      </c>
      <c r="F13" s="14"/>
      <c r="G13" s="15"/>
    </row>
    <row r="14" spans="1:8" ht="14.25" customHeight="1">
      <c r="A14" s="10" t="s">
        <v>73</v>
      </c>
      <c r="B14" s="11">
        <v>21</v>
      </c>
      <c r="C14" s="12" t="s">
        <v>29</v>
      </c>
      <c r="D14" s="11">
        <v>12</v>
      </c>
      <c r="E14" s="13" t="s">
        <v>74</v>
      </c>
      <c r="F14" s="14"/>
      <c r="G14" s="15"/>
    </row>
    <row r="15" spans="1:8" ht="14.25" customHeight="1">
      <c r="A15" s="10" t="s">
        <v>75</v>
      </c>
      <c r="B15" s="11">
        <v>22</v>
      </c>
      <c r="C15" s="12" t="s">
        <v>29</v>
      </c>
      <c r="D15" s="11">
        <v>13</v>
      </c>
      <c r="E15" s="13" t="s">
        <v>76</v>
      </c>
      <c r="F15" s="14"/>
      <c r="G15" s="15"/>
    </row>
    <row r="16" spans="1:8" ht="14.25" customHeight="1">
      <c r="A16" s="10" t="s">
        <v>77</v>
      </c>
      <c r="B16" s="11">
        <v>23</v>
      </c>
      <c r="C16" s="12" t="s">
        <v>29</v>
      </c>
      <c r="D16" s="11">
        <v>14</v>
      </c>
      <c r="E16" s="13" t="s">
        <v>78</v>
      </c>
      <c r="F16" s="14"/>
      <c r="G16" s="15"/>
    </row>
    <row r="17" spans="1:7" ht="14.25" customHeight="1">
      <c r="A17" s="10" t="s">
        <v>79</v>
      </c>
      <c r="B17" s="11">
        <v>24</v>
      </c>
      <c r="C17" s="12" t="s">
        <v>29</v>
      </c>
      <c r="D17" s="11">
        <v>15</v>
      </c>
      <c r="E17" s="13" t="s">
        <v>80</v>
      </c>
      <c r="F17" s="14"/>
      <c r="G17" s="15"/>
    </row>
    <row r="18" spans="1:7" ht="14.25" customHeight="1">
      <c r="A18" s="10" t="s">
        <v>81</v>
      </c>
      <c r="B18" s="11">
        <v>25</v>
      </c>
      <c r="C18" s="12" t="s">
        <v>29</v>
      </c>
      <c r="D18" s="11">
        <v>16</v>
      </c>
      <c r="E18" s="13" t="s">
        <v>82</v>
      </c>
      <c r="F18" s="14"/>
      <c r="G18" s="15"/>
    </row>
    <row r="19" spans="1:7" ht="14.25" customHeight="1">
      <c r="A19" s="10" t="s">
        <v>83</v>
      </c>
      <c r="B19" s="11">
        <v>26</v>
      </c>
      <c r="C19" s="12" t="s">
        <v>29</v>
      </c>
      <c r="D19" s="11">
        <v>17</v>
      </c>
      <c r="E19" s="13" t="s">
        <v>84</v>
      </c>
      <c r="F19" s="14"/>
      <c r="G19" s="15"/>
    </row>
    <row r="20" spans="1:7" ht="14.25" customHeight="1">
      <c r="A20" s="10" t="s">
        <v>85</v>
      </c>
      <c r="B20" s="11">
        <v>27</v>
      </c>
      <c r="C20" s="12" t="s">
        <v>29</v>
      </c>
      <c r="D20" s="11">
        <v>18</v>
      </c>
      <c r="E20" s="13" t="s">
        <v>86</v>
      </c>
      <c r="F20" s="14"/>
      <c r="G20" s="15"/>
    </row>
    <row r="21" spans="1:7" ht="14.25" customHeight="1">
      <c r="A21" s="10" t="s">
        <v>87</v>
      </c>
      <c r="B21" s="11">
        <v>28</v>
      </c>
      <c r="C21" s="12" t="s">
        <v>29</v>
      </c>
      <c r="D21" s="11">
        <v>19</v>
      </c>
      <c r="E21" s="13" t="s">
        <v>88</v>
      </c>
      <c r="F21" s="14"/>
      <c r="G21" s="15"/>
    </row>
    <row r="22" spans="1:7" ht="14.25" customHeight="1">
      <c r="A22" s="10" t="s">
        <v>89</v>
      </c>
      <c r="B22" s="11">
        <v>29</v>
      </c>
      <c r="C22" s="12" t="s">
        <v>29</v>
      </c>
      <c r="D22" s="11">
        <v>20</v>
      </c>
      <c r="E22" s="13" t="s">
        <v>90</v>
      </c>
      <c r="F22" s="14"/>
      <c r="G22" s="15"/>
    </row>
    <row r="23" spans="1:7" ht="14.25" customHeight="1">
      <c r="A23" s="10" t="s">
        <v>91</v>
      </c>
      <c r="B23" s="11">
        <v>30</v>
      </c>
      <c r="C23" s="12" t="s">
        <v>29</v>
      </c>
      <c r="D23" s="11">
        <v>21</v>
      </c>
      <c r="E23" s="13" t="s">
        <v>92</v>
      </c>
      <c r="F23" s="14"/>
      <c r="G23" s="15"/>
    </row>
    <row r="24" spans="1:7" ht="14.25" customHeight="1">
      <c r="A24" s="10" t="s">
        <v>93</v>
      </c>
      <c r="B24" s="11">
        <v>31</v>
      </c>
      <c r="C24" s="12" t="s">
        <v>29</v>
      </c>
      <c r="D24" s="11">
        <v>22</v>
      </c>
      <c r="E24" s="13" t="s">
        <v>94</v>
      </c>
      <c r="F24" s="14"/>
      <c r="G24" s="15"/>
    </row>
    <row r="25" spans="1:7" ht="14.25" customHeight="1">
      <c r="A25" s="10" t="s">
        <v>95</v>
      </c>
      <c r="B25" s="11">
        <v>32</v>
      </c>
      <c r="C25" s="12" t="s">
        <v>29</v>
      </c>
      <c r="D25" s="11">
        <v>23</v>
      </c>
      <c r="E25" s="13" t="s">
        <v>96</v>
      </c>
      <c r="F25" s="14"/>
      <c r="G25" s="15"/>
    </row>
    <row r="26" spans="1:7" ht="14.25" customHeight="1">
      <c r="A26" s="10" t="s">
        <v>97</v>
      </c>
      <c r="B26" s="11">
        <v>33</v>
      </c>
      <c r="C26" s="12" t="s">
        <v>29</v>
      </c>
      <c r="D26" s="11">
        <v>24</v>
      </c>
      <c r="E26" s="13" t="s">
        <v>98</v>
      </c>
      <c r="F26" s="14"/>
      <c r="G26" s="15"/>
    </row>
    <row r="27" spans="1:7" ht="14.25" customHeight="1">
      <c r="A27" s="10" t="s">
        <v>99</v>
      </c>
      <c r="B27" s="11">
        <v>34</v>
      </c>
      <c r="C27" s="12" t="s">
        <v>29</v>
      </c>
      <c r="D27" s="11">
        <v>25</v>
      </c>
      <c r="E27" s="13" t="s">
        <v>100</v>
      </c>
      <c r="F27" s="14"/>
      <c r="G27" s="15"/>
    </row>
    <row r="28" spans="1:7" ht="14.25" customHeight="1">
      <c r="A28" s="10" t="s">
        <v>101</v>
      </c>
      <c r="B28" s="11">
        <v>35</v>
      </c>
      <c r="C28" s="12" t="s">
        <v>29</v>
      </c>
      <c r="D28" s="11">
        <v>26</v>
      </c>
      <c r="E28" s="13" t="s">
        <v>102</v>
      </c>
      <c r="F28" s="14"/>
      <c r="G28" s="15"/>
    </row>
    <row r="29" spans="1:7" ht="14.25" customHeight="1">
      <c r="A29" s="10" t="s">
        <v>103</v>
      </c>
      <c r="B29" s="11">
        <v>36</v>
      </c>
      <c r="C29" s="12" t="s">
        <v>29</v>
      </c>
      <c r="D29" s="11">
        <v>27</v>
      </c>
      <c r="E29" s="13" t="s">
        <v>104</v>
      </c>
      <c r="F29" s="14"/>
      <c r="G29" s="15"/>
    </row>
    <row r="30" spans="1:7" ht="14.25" customHeight="1">
      <c r="A30" s="10" t="s">
        <v>105</v>
      </c>
      <c r="B30" s="11">
        <v>37</v>
      </c>
      <c r="C30" s="12" t="s">
        <v>29</v>
      </c>
      <c r="D30" s="11">
        <v>28</v>
      </c>
      <c r="E30" s="13" t="s">
        <v>106</v>
      </c>
      <c r="F30" s="14"/>
      <c r="G30" s="15"/>
    </row>
    <row r="31" spans="1:7" ht="14.25" customHeight="1">
      <c r="A31" s="10" t="s">
        <v>107</v>
      </c>
      <c r="B31" s="11">
        <v>38</v>
      </c>
      <c r="C31" s="12" t="s">
        <v>29</v>
      </c>
      <c r="D31" s="11">
        <v>29</v>
      </c>
      <c r="E31" s="13" t="s">
        <v>108</v>
      </c>
      <c r="F31" s="14"/>
      <c r="G31" s="15"/>
    </row>
    <row r="32" spans="1:7" ht="14.25" customHeight="1">
      <c r="A32" s="10" t="s">
        <v>109</v>
      </c>
      <c r="B32" s="11">
        <v>39</v>
      </c>
      <c r="C32" s="12" t="s">
        <v>29</v>
      </c>
      <c r="D32" s="11">
        <v>30</v>
      </c>
      <c r="E32" s="13" t="s">
        <v>110</v>
      </c>
      <c r="F32" s="14"/>
      <c r="G32" s="15"/>
    </row>
    <row r="33" spans="1:7" ht="14.25" customHeight="1">
      <c r="A33" s="10" t="s">
        <v>111</v>
      </c>
      <c r="B33" s="11">
        <v>40</v>
      </c>
      <c r="C33" s="12" t="s">
        <v>29</v>
      </c>
      <c r="D33" s="11">
        <v>31</v>
      </c>
      <c r="E33" s="13" t="s">
        <v>112</v>
      </c>
      <c r="F33" s="14"/>
      <c r="G33" s="15"/>
    </row>
    <row r="34" spans="1:7" ht="14.25" customHeight="1">
      <c r="A34" s="10" t="s">
        <v>113</v>
      </c>
      <c r="B34" s="11">
        <v>41</v>
      </c>
      <c r="C34" s="12" t="s">
        <v>29</v>
      </c>
      <c r="D34" s="11">
        <v>32</v>
      </c>
      <c r="E34" s="13" t="s">
        <v>114</v>
      </c>
      <c r="F34" s="14"/>
      <c r="G34" s="15"/>
    </row>
    <row r="35" spans="1:7" ht="14.25" customHeight="1">
      <c r="A35" s="10" t="s">
        <v>115</v>
      </c>
      <c r="B35" s="11">
        <v>42</v>
      </c>
      <c r="C35" s="12" t="s">
        <v>29</v>
      </c>
      <c r="D35" s="11">
        <v>33</v>
      </c>
      <c r="E35" s="13" t="s">
        <v>116</v>
      </c>
      <c r="F35" s="14"/>
      <c r="G35" s="15"/>
    </row>
    <row r="36" spans="1:7" ht="14.25" customHeight="1">
      <c r="A36" s="10" t="s">
        <v>117</v>
      </c>
      <c r="B36" s="11">
        <v>43</v>
      </c>
      <c r="C36" s="12" t="s">
        <v>29</v>
      </c>
      <c r="D36" s="11">
        <v>34</v>
      </c>
      <c r="E36" s="13" t="s">
        <v>118</v>
      </c>
      <c r="F36" s="14"/>
      <c r="G36" s="15"/>
    </row>
    <row r="37" spans="1:7" ht="14.25" customHeight="1">
      <c r="A37" s="10" t="s">
        <v>119</v>
      </c>
      <c r="B37" s="11">
        <v>44</v>
      </c>
      <c r="C37" s="12" t="s">
        <v>29</v>
      </c>
      <c r="D37" s="11">
        <v>35</v>
      </c>
      <c r="E37" s="13" t="s">
        <v>120</v>
      </c>
      <c r="F37" s="14"/>
      <c r="G37" s="15"/>
    </row>
    <row r="38" spans="1:7" ht="14.25" customHeight="1">
      <c r="A38" s="10" t="s">
        <v>121</v>
      </c>
      <c r="B38" s="11">
        <v>45</v>
      </c>
      <c r="C38" s="12" t="s">
        <v>29</v>
      </c>
      <c r="D38" s="11">
        <v>36</v>
      </c>
      <c r="E38" s="13" t="s">
        <v>122</v>
      </c>
      <c r="F38" s="14"/>
      <c r="G38" s="15"/>
    </row>
    <row r="39" spans="1:7" ht="14.25" customHeight="1">
      <c r="A39" s="10" t="s">
        <v>123</v>
      </c>
      <c r="B39" s="11">
        <v>80</v>
      </c>
      <c r="C39" s="12" t="s">
        <v>29</v>
      </c>
      <c r="D39" s="11">
        <v>37</v>
      </c>
      <c r="E39" s="13" t="s">
        <v>124</v>
      </c>
      <c r="F39" s="14"/>
      <c r="G39" s="15"/>
    </row>
    <row r="40" spans="1:7" ht="14.25" customHeight="1">
      <c r="A40" s="10" t="s">
        <v>125</v>
      </c>
      <c r="B40" s="11">
        <v>81</v>
      </c>
      <c r="C40" s="12" t="s">
        <v>29</v>
      </c>
      <c r="D40" s="11">
        <v>38</v>
      </c>
      <c r="E40" s="13" t="s">
        <v>126</v>
      </c>
      <c r="F40" s="14"/>
      <c r="G40" s="15"/>
    </row>
    <row r="41" spans="1:7" ht="14.25" customHeight="1">
      <c r="A41" s="10" t="s">
        <v>127</v>
      </c>
      <c r="B41" s="11">
        <v>82</v>
      </c>
      <c r="C41" s="12" t="s">
        <v>29</v>
      </c>
      <c r="D41" s="11">
        <v>39</v>
      </c>
      <c r="E41" s="13" t="s">
        <v>128</v>
      </c>
      <c r="F41" s="14"/>
      <c r="G41" s="15"/>
    </row>
    <row r="42" spans="1:7" ht="14.25" customHeight="1">
      <c r="A42" s="10" t="s">
        <v>129</v>
      </c>
      <c r="B42" s="11">
        <v>83</v>
      </c>
      <c r="C42" s="12" t="s">
        <v>29</v>
      </c>
      <c r="D42" s="11">
        <v>40</v>
      </c>
      <c r="E42" s="13" t="s">
        <v>130</v>
      </c>
      <c r="F42" s="14"/>
      <c r="G42" s="15"/>
    </row>
    <row r="43" spans="1:7" ht="14.25" customHeight="1">
      <c r="A43" s="10" t="s">
        <v>131</v>
      </c>
      <c r="B43" s="11">
        <v>84</v>
      </c>
      <c r="C43" s="12" t="s">
        <v>29</v>
      </c>
      <c r="D43" s="11">
        <v>41</v>
      </c>
      <c r="E43" s="13" t="s">
        <v>132</v>
      </c>
      <c r="F43" s="14"/>
      <c r="G43" s="15"/>
    </row>
    <row r="44" spans="1:7" ht="14.25" customHeight="1">
      <c r="A44" s="10" t="s">
        <v>133</v>
      </c>
      <c r="B44" s="11">
        <v>85</v>
      </c>
      <c r="C44" s="12" t="s">
        <v>29</v>
      </c>
      <c r="D44" s="11">
        <v>42</v>
      </c>
      <c r="E44" s="13" t="s">
        <v>134</v>
      </c>
      <c r="F44" s="14"/>
      <c r="G44" s="15"/>
    </row>
    <row r="45" spans="1:7" ht="14.25" customHeight="1">
      <c r="A45" s="10" t="s">
        <v>135</v>
      </c>
      <c r="B45" s="11">
        <v>86</v>
      </c>
      <c r="C45" s="12" t="s">
        <v>29</v>
      </c>
      <c r="D45" s="11">
        <v>43</v>
      </c>
      <c r="E45" s="13" t="s">
        <v>136</v>
      </c>
      <c r="F45" s="14"/>
      <c r="G45" s="15"/>
    </row>
    <row r="46" spans="1:7" ht="14.25" customHeight="1">
      <c r="A46" s="10" t="s">
        <v>137</v>
      </c>
      <c r="B46" s="11">
        <v>87</v>
      </c>
      <c r="C46" s="12" t="s">
        <v>29</v>
      </c>
      <c r="D46" s="11">
        <v>44</v>
      </c>
      <c r="E46" s="13" t="s">
        <v>138</v>
      </c>
      <c r="F46" s="14"/>
      <c r="G46" s="15"/>
    </row>
    <row r="47" spans="1:7" ht="14.25" customHeight="1">
      <c r="A47" s="10" t="s">
        <v>139</v>
      </c>
      <c r="B47" s="11">
        <v>88</v>
      </c>
      <c r="C47" s="12" t="s">
        <v>29</v>
      </c>
      <c r="D47" s="11">
        <v>45</v>
      </c>
      <c r="E47" s="13" t="s">
        <v>140</v>
      </c>
      <c r="F47" s="14"/>
      <c r="G47" s="15"/>
    </row>
    <row r="48" spans="1:7" ht="14.25" customHeight="1">
      <c r="A48" s="10" t="s">
        <v>141</v>
      </c>
      <c r="B48" s="11">
        <v>89</v>
      </c>
      <c r="C48" s="12" t="s">
        <v>29</v>
      </c>
      <c r="D48" s="11">
        <v>46</v>
      </c>
      <c r="E48" s="13" t="s">
        <v>142</v>
      </c>
      <c r="F48" s="14"/>
      <c r="G48" s="15"/>
    </row>
    <row r="49" spans="1:7" ht="14.25" customHeight="1">
      <c r="A49" s="10" t="s">
        <v>143</v>
      </c>
      <c r="B49" s="11">
        <v>90</v>
      </c>
      <c r="C49" s="12" t="s">
        <v>29</v>
      </c>
      <c r="D49" s="11">
        <v>47</v>
      </c>
      <c r="E49" s="13" t="s">
        <v>144</v>
      </c>
      <c r="F49" s="14"/>
      <c r="G49" s="15"/>
    </row>
    <row r="50" spans="1:7" ht="14.25" customHeight="1">
      <c r="A50" s="10" t="s">
        <v>145</v>
      </c>
      <c r="B50" s="11">
        <v>91</v>
      </c>
      <c r="C50" s="12" t="s">
        <v>29</v>
      </c>
      <c r="D50" s="11">
        <v>48</v>
      </c>
      <c r="E50" s="13" t="s">
        <v>146</v>
      </c>
      <c r="F50" s="14"/>
      <c r="G50" s="15"/>
    </row>
    <row r="51" spans="1:7" ht="14.25" customHeight="1">
      <c r="A51" s="10" t="s">
        <v>147</v>
      </c>
      <c r="B51" s="11">
        <v>92</v>
      </c>
      <c r="C51" s="12" t="s">
        <v>29</v>
      </c>
      <c r="D51" s="11">
        <v>49</v>
      </c>
      <c r="E51" s="13" t="s">
        <v>148</v>
      </c>
      <c r="F51" s="14"/>
      <c r="G51" s="15"/>
    </row>
    <row r="52" spans="1:7" ht="14.25" customHeight="1">
      <c r="A52" s="10" t="s">
        <v>149</v>
      </c>
      <c r="B52" s="11">
        <v>93</v>
      </c>
      <c r="C52" s="12" t="s">
        <v>29</v>
      </c>
      <c r="D52" s="11">
        <v>50</v>
      </c>
      <c r="E52" s="13" t="s">
        <v>150</v>
      </c>
      <c r="F52" s="14"/>
      <c r="G52" s="15"/>
    </row>
    <row r="53" spans="1:7" ht="14.25" customHeight="1">
      <c r="A53" s="10" t="s">
        <v>151</v>
      </c>
      <c r="B53" s="11">
        <v>94</v>
      </c>
      <c r="C53" s="12" t="s">
        <v>29</v>
      </c>
      <c r="D53" s="11">
        <v>51</v>
      </c>
      <c r="E53" s="13" t="s">
        <v>152</v>
      </c>
      <c r="F53" s="14"/>
      <c r="G53" s="15"/>
    </row>
    <row r="54" spans="1:7" ht="14.25" customHeight="1">
      <c r="A54" s="10" t="s">
        <v>153</v>
      </c>
      <c r="B54" s="11">
        <v>95</v>
      </c>
      <c r="C54" s="12" t="s">
        <v>29</v>
      </c>
      <c r="D54" s="11">
        <v>52</v>
      </c>
      <c r="E54" s="13" t="s">
        <v>154</v>
      </c>
      <c r="F54" s="14"/>
      <c r="G54" s="15"/>
    </row>
    <row r="55" spans="1:7" ht="14.25" customHeight="1">
      <c r="A55" s="10" t="s">
        <v>155</v>
      </c>
      <c r="B55" s="11">
        <v>96</v>
      </c>
      <c r="C55" s="12" t="s">
        <v>29</v>
      </c>
      <c r="D55" s="11">
        <v>53</v>
      </c>
      <c r="E55" s="13" t="s">
        <v>156</v>
      </c>
      <c r="F55" s="14"/>
      <c r="G55" s="15"/>
    </row>
    <row r="56" spans="1:7" ht="14.25" customHeight="1">
      <c r="A56" s="10" t="s">
        <v>157</v>
      </c>
      <c r="B56" s="11">
        <v>97</v>
      </c>
      <c r="C56" s="12" t="s">
        <v>29</v>
      </c>
      <c r="D56" s="11">
        <v>54</v>
      </c>
      <c r="E56" s="13" t="s">
        <v>158</v>
      </c>
      <c r="F56" s="14"/>
      <c r="G56" s="15"/>
    </row>
    <row r="57" spans="1:7" ht="14.25" customHeight="1">
      <c r="A57" s="10" t="s">
        <v>159</v>
      </c>
      <c r="B57" s="11">
        <v>98</v>
      </c>
      <c r="C57" s="12" t="s">
        <v>29</v>
      </c>
      <c r="D57" s="11">
        <v>55</v>
      </c>
      <c r="E57" s="13" t="s">
        <v>160</v>
      </c>
      <c r="F57" s="14"/>
      <c r="G57" s="15"/>
    </row>
    <row r="58" spans="1:7" ht="14.25" customHeight="1">
      <c r="A58" s="10" t="s">
        <v>161</v>
      </c>
      <c r="B58" s="11">
        <v>99</v>
      </c>
      <c r="C58" s="12" t="s">
        <v>29</v>
      </c>
      <c r="D58" s="11">
        <v>56</v>
      </c>
      <c r="E58" s="13" t="s">
        <v>162</v>
      </c>
      <c r="F58" s="14"/>
      <c r="G58" s="15"/>
    </row>
    <row r="59" spans="1:7" ht="14.25" customHeight="1">
      <c r="A59" s="10" t="s">
        <v>163</v>
      </c>
      <c r="B59" s="11">
        <v>100</v>
      </c>
      <c r="C59" s="12" t="s">
        <v>29</v>
      </c>
      <c r="D59" s="11">
        <v>57</v>
      </c>
      <c r="E59" s="13" t="s">
        <v>164</v>
      </c>
      <c r="F59" s="14"/>
      <c r="G59" s="15"/>
    </row>
    <row r="60" spans="1:7" ht="14.25" customHeight="1">
      <c r="A60" s="10" t="s">
        <v>165</v>
      </c>
      <c r="B60" s="11">
        <v>101</v>
      </c>
      <c r="C60" s="12" t="s">
        <v>29</v>
      </c>
      <c r="D60" s="11">
        <v>58</v>
      </c>
      <c r="E60" s="13" t="s">
        <v>166</v>
      </c>
      <c r="F60" s="14"/>
      <c r="G60" s="15"/>
    </row>
    <row r="61" spans="1:7" ht="14.25" customHeight="1">
      <c r="A61" s="10" t="s">
        <v>167</v>
      </c>
      <c r="B61" s="11">
        <v>102</v>
      </c>
      <c r="C61" s="12" t="s">
        <v>29</v>
      </c>
      <c r="D61" s="11">
        <v>59</v>
      </c>
      <c r="E61" s="13" t="s">
        <v>168</v>
      </c>
      <c r="F61" s="14"/>
      <c r="G61" s="15"/>
    </row>
    <row r="62" spans="1:7" ht="14.25" customHeight="1">
      <c r="A62" s="10" t="s">
        <v>169</v>
      </c>
      <c r="B62" s="11">
        <v>103</v>
      </c>
      <c r="C62" s="12" t="s">
        <v>29</v>
      </c>
      <c r="D62" s="11">
        <v>60</v>
      </c>
      <c r="E62" s="13" t="s">
        <v>170</v>
      </c>
      <c r="F62" s="14"/>
      <c r="G62" s="15"/>
    </row>
    <row r="63" spans="1:7" ht="14.25" customHeight="1">
      <c r="A63" s="10" t="s">
        <v>171</v>
      </c>
      <c r="B63" s="11">
        <v>104</v>
      </c>
      <c r="C63" s="12" t="s">
        <v>29</v>
      </c>
      <c r="D63" s="11">
        <v>61</v>
      </c>
      <c r="E63" s="13" t="s">
        <v>172</v>
      </c>
      <c r="F63" s="14"/>
      <c r="G63" s="15"/>
    </row>
    <row r="64" spans="1:7" ht="14.25" customHeight="1">
      <c r="A64" s="10" t="s">
        <v>173</v>
      </c>
      <c r="B64" s="11">
        <v>105</v>
      </c>
      <c r="C64" s="12" t="s">
        <v>29</v>
      </c>
      <c r="D64" s="11">
        <v>62</v>
      </c>
      <c r="E64" s="13" t="s">
        <v>174</v>
      </c>
      <c r="F64" s="14"/>
      <c r="G64" s="15"/>
    </row>
    <row r="65" spans="1:7" ht="14.25" customHeight="1">
      <c r="A65" s="10" t="s">
        <v>175</v>
      </c>
      <c r="B65" s="11">
        <v>106</v>
      </c>
      <c r="C65" s="12" t="s">
        <v>29</v>
      </c>
      <c r="D65" s="11">
        <v>63</v>
      </c>
      <c r="E65" s="13" t="s">
        <v>176</v>
      </c>
      <c r="F65" s="14"/>
      <c r="G65" s="15"/>
    </row>
    <row r="66" spans="1:7" ht="14.25" customHeight="1">
      <c r="A66" s="10" t="s">
        <v>177</v>
      </c>
      <c r="B66" s="11">
        <v>107</v>
      </c>
      <c r="C66" s="12" t="s">
        <v>29</v>
      </c>
      <c r="D66" s="11">
        <v>64</v>
      </c>
      <c r="E66" s="13" t="s">
        <v>178</v>
      </c>
      <c r="F66" s="14"/>
      <c r="G66" s="15"/>
    </row>
    <row r="67" spans="1:7" ht="14.25" customHeight="1">
      <c r="A67" s="10" t="s">
        <v>179</v>
      </c>
      <c r="B67" s="11">
        <v>108</v>
      </c>
      <c r="C67" s="12" t="s">
        <v>29</v>
      </c>
      <c r="D67" s="11">
        <v>65</v>
      </c>
      <c r="E67" s="13" t="s">
        <v>180</v>
      </c>
      <c r="F67" s="14"/>
      <c r="G67" s="15"/>
    </row>
    <row r="68" spans="1:7" ht="14.25" customHeight="1">
      <c r="A68" s="10" t="s">
        <v>181</v>
      </c>
      <c r="B68" s="11">
        <v>109</v>
      </c>
      <c r="C68" s="12" t="s">
        <v>29</v>
      </c>
      <c r="D68" s="11">
        <v>66</v>
      </c>
      <c r="E68" s="13" t="s">
        <v>182</v>
      </c>
      <c r="F68" s="14"/>
      <c r="G68" s="15"/>
    </row>
    <row r="69" spans="1:7" ht="14.25" customHeight="1">
      <c r="A69" s="10" t="s">
        <v>183</v>
      </c>
      <c r="B69" s="11">
        <v>90</v>
      </c>
      <c r="C69" s="12" t="s">
        <v>29</v>
      </c>
      <c r="D69" s="11">
        <v>67</v>
      </c>
      <c r="E69" s="13" t="s">
        <v>184</v>
      </c>
      <c r="F69" s="14"/>
      <c r="G69" s="15"/>
    </row>
    <row r="70" spans="1:7" ht="14.25" customHeight="1">
      <c r="A70" s="10" t="s">
        <v>185</v>
      </c>
      <c r="B70" s="11">
        <v>91</v>
      </c>
      <c r="C70" s="12" t="s">
        <v>29</v>
      </c>
      <c r="D70" s="11">
        <v>68</v>
      </c>
      <c r="E70" s="13" t="s">
        <v>186</v>
      </c>
      <c r="F70" s="14"/>
      <c r="G70" s="15"/>
    </row>
    <row r="71" spans="1:7" ht="14.25" customHeight="1">
      <c r="A71" s="10" t="s">
        <v>187</v>
      </c>
      <c r="B71" s="11">
        <v>92</v>
      </c>
      <c r="C71" s="12" t="s">
        <v>29</v>
      </c>
      <c r="D71" s="11">
        <v>69</v>
      </c>
      <c r="E71" s="13" t="s">
        <v>188</v>
      </c>
      <c r="F71" s="14"/>
      <c r="G71" s="15"/>
    </row>
    <row r="72" spans="1:7" ht="14.25" customHeight="1">
      <c r="A72" s="10" t="s">
        <v>189</v>
      </c>
      <c r="B72" s="11">
        <v>93</v>
      </c>
      <c r="C72" s="12" t="s">
        <v>29</v>
      </c>
      <c r="D72" s="11">
        <v>70</v>
      </c>
      <c r="E72" s="13" t="s">
        <v>190</v>
      </c>
      <c r="F72" s="14"/>
      <c r="G72" s="15"/>
    </row>
    <row r="73" spans="1:7" ht="14.25" customHeight="1">
      <c r="A73" s="10" t="s">
        <v>191</v>
      </c>
      <c r="B73" s="11">
        <v>94</v>
      </c>
      <c r="C73" s="12" t="s">
        <v>29</v>
      </c>
      <c r="D73" s="11">
        <v>71</v>
      </c>
      <c r="E73" s="13" t="s">
        <v>192</v>
      </c>
      <c r="F73" s="14"/>
      <c r="G73" s="15"/>
    </row>
    <row r="74" spans="1:7" ht="14.25" customHeight="1">
      <c r="A74" s="10" t="s">
        <v>193</v>
      </c>
      <c r="B74" s="11">
        <v>95</v>
      </c>
      <c r="C74" s="12" t="s">
        <v>29</v>
      </c>
      <c r="D74" s="11">
        <v>72</v>
      </c>
      <c r="E74" s="13" t="s">
        <v>194</v>
      </c>
      <c r="F74" s="14"/>
      <c r="G74" s="15"/>
    </row>
    <row r="75" spans="1:7" ht="14.25" customHeight="1">
      <c r="A75" s="10" t="s">
        <v>195</v>
      </c>
      <c r="B75" s="11">
        <v>96</v>
      </c>
      <c r="C75" s="12" t="s">
        <v>29</v>
      </c>
      <c r="D75" s="11">
        <v>73</v>
      </c>
      <c r="E75" s="13" t="s">
        <v>196</v>
      </c>
      <c r="F75" s="14"/>
      <c r="G75" s="15"/>
    </row>
    <row r="76" spans="1:7" ht="14.25" customHeight="1">
      <c r="A76" s="10" t="s">
        <v>197</v>
      </c>
      <c r="B76" s="11">
        <v>97</v>
      </c>
      <c r="C76" s="12" t="s">
        <v>29</v>
      </c>
      <c r="D76" s="11">
        <v>74</v>
      </c>
      <c r="E76" s="13" t="s">
        <v>198</v>
      </c>
      <c r="F76" s="14"/>
      <c r="G76" s="15"/>
    </row>
    <row r="77" spans="1:7" ht="14.25" customHeight="1">
      <c r="A77" s="10" t="s">
        <v>199</v>
      </c>
      <c r="B77" s="11">
        <v>98</v>
      </c>
      <c r="C77" s="12" t="s">
        <v>29</v>
      </c>
      <c r="D77" s="11">
        <v>75</v>
      </c>
      <c r="E77" s="13" t="s">
        <v>200</v>
      </c>
      <c r="F77" s="14"/>
      <c r="G77" s="15"/>
    </row>
    <row r="78" spans="1:7" ht="14.25" customHeight="1">
      <c r="A78" s="10" t="s">
        <v>201</v>
      </c>
      <c r="B78" s="11">
        <v>99</v>
      </c>
      <c r="C78" s="12" t="s">
        <v>29</v>
      </c>
      <c r="D78" s="11">
        <v>76</v>
      </c>
      <c r="E78" s="13" t="s">
        <v>202</v>
      </c>
      <c r="F78" s="14"/>
      <c r="G78" s="15"/>
    </row>
    <row r="79" spans="1:7" ht="14.25" customHeight="1">
      <c r="A79" s="10" t="s">
        <v>203</v>
      </c>
      <c r="B79" s="11">
        <v>100</v>
      </c>
      <c r="C79" s="12" t="s">
        <v>29</v>
      </c>
      <c r="D79" s="11">
        <v>77</v>
      </c>
      <c r="E79" s="13" t="s">
        <v>204</v>
      </c>
      <c r="F79" s="14"/>
      <c r="G79" s="15"/>
    </row>
    <row r="80" spans="1:7" ht="14.25" customHeight="1">
      <c r="A80" s="10" t="s">
        <v>205</v>
      </c>
      <c r="B80" s="11">
        <v>101</v>
      </c>
      <c r="C80" s="12" t="s">
        <v>29</v>
      </c>
      <c r="D80" s="11">
        <v>78</v>
      </c>
      <c r="E80" s="13" t="s">
        <v>206</v>
      </c>
      <c r="F80" s="14"/>
      <c r="G80" s="15"/>
    </row>
    <row r="81" spans="1:7" ht="14.25" customHeight="1">
      <c r="A81" s="10" t="s">
        <v>207</v>
      </c>
      <c r="B81" s="11">
        <v>102</v>
      </c>
      <c r="C81" s="12" t="s">
        <v>29</v>
      </c>
      <c r="D81" s="11">
        <v>79</v>
      </c>
      <c r="E81" s="13" t="s">
        <v>208</v>
      </c>
      <c r="F81" s="14"/>
      <c r="G81" s="15"/>
    </row>
    <row r="82" spans="1:7" ht="14.25" customHeight="1">
      <c r="A82" s="10" t="s">
        <v>209</v>
      </c>
      <c r="B82" s="11">
        <v>103</v>
      </c>
      <c r="C82" s="12" t="s">
        <v>29</v>
      </c>
      <c r="D82" s="11">
        <v>80</v>
      </c>
      <c r="E82" s="13" t="s">
        <v>210</v>
      </c>
      <c r="F82" s="14"/>
      <c r="G82" s="15"/>
    </row>
    <row r="83" spans="1:7" ht="14.25" customHeight="1">
      <c r="A83" s="10" t="s">
        <v>211</v>
      </c>
      <c r="B83" s="11">
        <v>104</v>
      </c>
      <c r="C83" s="12" t="s">
        <v>29</v>
      </c>
      <c r="D83" s="11">
        <v>81</v>
      </c>
      <c r="E83" s="13" t="s">
        <v>212</v>
      </c>
      <c r="F83" s="14"/>
      <c r="G83" s="15"/>
    </row>
    <row r="84" spans="1:7" ht="14.25" customHeight="1">
      <c r="A84" s="10" t="s">
        <v>213</v>
      </c>
      <c r="B84" s="11">
        <v>105</v>
      </c>
      <c r="C84" s="12" t="s">
        <v>29</v>
      </c>
      <c r="D84" s="11">
        <v>82</v>
      </c>
      <c r="E84" s="13" t="s">
        <v>214</v>
      </c>
      <c r="F84" s="14"/>
      <c r="G84" s="15"/>
    </row>
    <row r="85" spans="1:7" ht="14.25" customHeight="1">
      <c r="A85" s="10" t="s">
        <v>215</v>
      </c>
      <c r="B85" s="11">
        <v>106</v>
      </c>
      <c r="C85" s="12" t="s">
        <v>29</v>
      </c>
      <c r="D85" s="11">
        <v>83</v>
      </c>
      <c r="E85" s="13" t="s">
        <v>216</v>
      </c>
      <c r="F85" s="14"/>
      <c r="G85" s="15"/>
    </row>
    <row r="86" spans="1:7" ht="14.25" customHeight="1">
      <c r="A86" s="10" t="s">
        <v>217</v>
      </c>
      <c r="B86" s="11">
        <v>107</v>
      </c>
      <c r="C86" s="12" t="s">
        <v>29</v>
      </c>
      <c r="D86" s="11">
        <v>84</v>
      </c>
      <c r="E86" s="13" t="s">
        <v>218</v>
      </c>
      <c r="F86" s="14"/>
      <c r="G86" s="15"/>
    </row>
    <row r="87" spans="1:7" ht="14.25" customHeight="1">
      <c r="A87" s="10" t="s">
        <v>219</v>
      </c>
      <c r="B87" s="11">
        <v>108</v>
      </c>
      <c r="C87" s="12" t="s">
        <v>29</v>
      </c>
      <c r="D87" s="11">
        <v>85</v>
      </c>
      <c r="E87" s="13" t="s">
        <v>220</v>
      </c>
      <c r="F87" s="14"/>
      <c r="G87" s="15"/>
    </row>
    <row r="88" spans="1:7" ht="14.25" customHeight="1">
      <c r="A88" s="10" t="s">
        <v>221</v>
      </c>
      <c r="B88" s="11">
        <v>109</v>
      </c>
      <c r="C88" s="12" t="s">
        <v>29</v>
      </c>
      <c r="D88" s="11">
        <v>86</v>
      </c>
      <c r="E88" s="13" t="s">
        <v>222</v>
      </c>
      <c r="F88" s="14"/>
      <c r="G88" s="15"/>
    </row>
    <row r="89" spans="1:7" ht="14.25" customHeight="1">
      <c r="A89" s="10" t="s">
        <v>223</v>
      </c>
      <c r="B89" s="11">
        <v>110</v>
      </c>
      <c r="C89" s="12" t="s">
        <v>29</v>
      </c>
      <c r="D89" s="11">
        <v>87</v>
      </c>
      <c r="E89" s="13" t="s">
        <v>224</v>
      </c>
      <c r="F89" s="14"/>
      <c r="G89" s="15"/>
    </row>
    <row r="90" spans="1:7" ht="14.25" customHeight="1">
      <c r="A90" s="10" t="s">
        <v>225</v>
      </c>
      <c r="B90" s="11">
        <v>111</v>
      </c>
      <c r="C90" s="12" t="s">
        <v>29</v>
      </c>
      <c r="D90" s="11">
        <v>88</v>
      </c>
      <c r="E90" s="13" t="s">
        <v>226</v>
      </c>
      <c r="F90" s="14"/>
      <c r="G90" s="15"/>
    </row>
    <row r="91" spans="1:7" ht="14.25" customHeight="1">
      <c r="A91" s="10" t="s">
        <v>227</v>
      </c>
      <c r="B91" s="11">
        <v>112</v>
      </c>
      <c r="C91" s="12" t="s">
        <v>29</v>
      </c>
      <c r="D91" s="11">
        <v>89</v>
      </c>
      <c r="E91" s="13" t="s">
        <v>228</v>
      </c>
      <c r="F91" s="14"/>
      <c r="G91" s="15"/>
    </row>
    <row r="92" spans="1:7" ht="14.25" customHeight="1">
      <c r="A92" s="10" t="s">
        <v>229</v>
      </c>
      <c r="B92" s="11">
        <v>113</v>
      </c>
      <c r="C92" s="12" t="s">
        <v>29</v>
      </c>
      <c r="D92" s="11">
        <v>90</v>
      </c>
      <c r="E92" s="13" t="s">
        <v>230</v>
      </c>
      <c r="F92" s="14"/>
      <c r="G92" s="15"/>
    </row>
    <row r="93" spans="1:7" ht="14.25" customHeight="1">
      <c r="A93" s="10" t="s">
        <v>231</v>
      </c>
      <c r="B93" s="11">
        <v>114</v>
      </c>
      <c r="C93" s="12" t="s">
        <v>29</v>
      </c>
      <c r="D93" s="11">
        <v>91</v>
      </c>
      <c r="E93" s="13" t="s">
        <v>232</v>
      </c>
      <c r="F93" s="14"/>
      <c r="G93" s="15"/>
    </row>
    <row r="94" spans="1:7" ht="14.25" customHeight="1">
      <c r="A94" s="10" t="s">
        <v>233</v>
      </c>
      <c r="B94" s="11">
        <v>115</v>
      </c>
      <c r="C94" s="12" t="s">
        <v>29</v>
      </c>
      <c r="D94" s="11">
        <v>92</v>
      </c>
      <c r="E94" s="13" t="s">
        <v>234</v>
      </c>
      <c r="F94" s="14"/>
      <c r="G94" s="15"/>
    </row>
    <row r="95" spans="1:7" ht="14.25" customHeight="1">
      <c r="A95" s="10" t="s">
        <v>235</v>
      </c>
      <c r="B95" s="11">
        <v>116</v>
      </c>
      <c r="C95" s="12" t="s">
        <v>29</v>
      </c>
      <c r="D95" s="11">
        <v>93</v>
      </c>
      <c r="E95" s="13" t="s">
        <v>236</v>
      </c>
      <c r="F95" s="14"/>
      <c r="G95" s="15"/>
    </row>
    <row r="96" spans="1:7" ht="14.25" customHeight="1">
      <c r="A96" s="10" t="s">
        <v>237</v>
      </c>
      <c r="B96" s="11">
        <v>117</v>
      </c>
      <c r="C96" s="12" t="s">
        <v>29</v>
      </c>
      <c r="D96" s="11">
        <v>94</v>
      </c>
      <c r="E96" s="13" t="s">
        <v>238</v>
      </c>
      <c r="F96" s="14"/>
      <c r="G96" s="15"/>
    </row>
    <row r="97" spans="1:7" ht="14.25" customHeight="1">
      <c r="A97" s="10" t="s">
        <v>239</v>
      </c>
      <c r="B97" s="11">
        <v>118</v>
      </c>
      <c r="C97" s="12" t="s">
        <v>29</v>
      </c>
      <c r="D97" s="11">
        <v>95</v>
      </c>
      <c r="E97" s="13" t="s">
        <v>240</v>
      </c>
      <c r="F97" s="14"/>
      <c r="G97" s="15"/>
    </row>
    <row r="98" spans="1:7" ht="14.25" customHeight="1">
      <c r="A98" s="10" t="s">
        <v>241</v>
      </c>
      <c r="B98" s="11">
        <v>119</v>
      </c>
      <c r="C98" s="12" t="s">
        <v>29</v>
      </c>
      <c r="D98" s="11">
        <v>96</v>
      </c>
      <c r="E98" s="13" t="s">
        <v>242</v>
      </c>
      <c r="F98" s="14"/>
      <c r="G98" s="15"/>
    </row>
    <row r="99" spans="1:7" ht="14.25" customHeight="1">
      <c r="A99" s="10" t="s">
        <v>243</v>
      </c>
      <c r="B99" s="11">
        <v>800</v>
      </c>
      <c r="C99" s="12" t="s">
        <v>29</v>
      </c>
      <c r="D99" s="11">
        <v>97</v>
      </c>
      <c r="E99" s="13" t="s">
        <v>244</v>
      </c>
      <c r="F99" s="14"/>
      <c r="G99" s="15"/>
    </row>
    <row r="100" spans="1:7" ht="14.25" customHeight="1">
      <c r="A100" s="10" t="s">
        <v>245</v>
      </c>
      <c r="B100" s="11">
        <v>801</v>
      </c>
      <c r="C100" s="12" t="s">
        <v>29</v>
      </c>
      <c r="D100" s="11">
        <v>98</v>
      </c>
      <c r="E100" s="13" t="s">
        <v>246</v>
      </c>
      <c r="F100" s="14"/>
      <c r="G100" s="15"/>
    </row>
    <row r="101" spans="1:7" ht="14.25" customHeight="1">
      <c r="A101" s="10" t="s">
        <v>247</v>
      </c>
      <c r="B101" s="11">
        <v>802</v>
      </c>
      <c r="C101" s="12" t="s">
        <v>29</v>
      </c>
      <c r="D101" s="11">
        <v>99</v>
      </c>
      <c r="E101" s="13" t="s">
        <v>248</v>
      </c>
      <c r="F101" s="14"/>
      <c r="G101" s="15"/>
    </row>
    <row r="102" spans="1:7" ht="14.25" customHeight="1">
      <c r="A102" s="10" t="s">
        <v>249</v>
      </c>
      <c r="B102" s="11">
        <v>803</v>
      </c>
      <c r="C102" s="12" t="s">
        <v>29</v>
      </c>
      <c r="D102" s="11">
        <v>100</v>
      </c>
      <c r="E102" s="13" t="s">
        <v>250</v>
      </c>
      <c r="F102" s="14"/>
      <c r="G102" s="15"/>
    </row>
    <row r="103" spans="1:7" ht="14.25" customHeight="1">
      <c r="A103" s="10" t="s">
        <v>251</v>
      </c>
      <c r="B103" s="11">
        <v>804</v>
      </c>
      <c r="C103" s="12" t="s">
        <v>29</v>
      </c>
      <c r="D103" s="11">
        <v>101</v>
      </c>
      <c r="E103" s="13" t="s">
        <v>252</v>
      </c>
      <c r="F103" s="14"/>
      <c r="G103" s="15"/>
    </row>
    <row r="104" spans="1:7" ht="14.25" customHeight="1">
      <c r="A104" s="10" t="s">
        <v>253</v>
      </c>
      <c r="B104" s="11">
        <v>805</v>
      </c>
      <c r="C104" s="12" t="s">
        <v>29</v>
      </c>
      <c r="D104" s="11">
        <v>102</v>
      </c>
      <c r="E104" s="13" t="s">
        <v>254</v>
      </c>
      <c r="F104" s="14"/>
      <c r="G104" s="15"/>
    </row>
    <row r="105" spans="1:7" ht="14.25" customHeight="1">
      <c r="A105" s="10" t="s">
        <v>255</v>
      </c>
      <c r="B105" s="11">
        <v>806</v>
      </c>
      <c r="C105" s="12" t="s">
        <v>29</v>
      </c>
      <c r="D105" s="11">
        <v>103</v>
      </c>
      <c r="E105" s="13" t="s">
        <v>256</v>
      </c>
      <c r="F105" s="14"/>
      <c r="G105" s="15"/>
    </row>
    <row r="106" spans="1:7" ht="14.25" customHeight="1">
      <c r="A106" s="10" t="s">
        <v>257</v>
      </c>
      <c r="B106" s="11">
        <v>807</v>
      </c>
      <c r="C106" s="12" t="s">
        <v>29</v>
      </c>
      <c r="D106" s="11">
        <v>104</v>
      </c>
      <c r="E106" s="13" t="s">
        <v>258</v>
      </c>
      <c r="F106" s="14"/>
      <c r="G106" s="15"/>
    </row>
    <row r="107" spans="1:7" ht="14.25" customHeight="1">
      <c r="A107" s="10" t="s">
        <v>259</v>
      </c>
      <c r="B107" s="11">
        <v>808</v>
      </c>
      <c r="C107" s="12" t="s">
        <v>29</v>
      </c>
      <c r="D107" s="11">
        <v>105</v>
      </c>
      <c r="E107" s="13" t="s">
        <v>260</v>
      </c>
      <c r="F107" s="14"/>
      <c r="G107" s="15"/>
    </row>
    <row r="108" spans="1:7" ht="14.25" customHeight="1">
      <c r="A108" s="10" t="s">
        <v>261</v>
      </c>
      <c r="B108" s="11">
        <v>809</v>
      </c>
      <c r="C108" s="12" t="s">
        <v>29</v>
      </c>
      <c r="D108" s="11">
        <v>106</v>
      </c>
      <c r="E108" s="13" t="s">
        <v>262</v>
      </c>
      <c r="F108" s="14"/>
      <c r="G108" s="15"/>
    </row>
    <row r="109" spans="1:7" ht="14.25" customHeight="1">
      <c r="A109" s="10" t="s">
        <v>263</v>
      </c>
      <c r="B109" s="11">
        <v>810</v>
      </c>
      <c r="C109" s="12" t="s">
        <v>29</v>
      </c>
      <c r="D109" s="11">
        <v>107</v>
      </c>
      <c r="E109" s="13" t="s">
        <v>264</v>
      </c>
      <c r="F109" s="14"/>
      <c r="G109" s="15"/>
    </row>
    <row r="110" spans="1:7" ht="14.25" customHeight="1">
      <c r="A110" s="10" t="s">
        <v>265</v>
      </c>
      <c r="B110" s="11">
        <v>811</v>
      </c>
      <c r="C110" s="12" t="s">
        <v>29</v>
      </c>
      <c r="D110" s="11">
        <v>108</v>
      </c>
      <c r="E110" s="13" t="s">
        <v>266</v>
      </c>
      <c r="F110" s="14"/>
      <c r="G110" s="15"/>
    </row>
    <row r="111" spans="1:7" ht="14.25" customHeight="1">
      <c r="A111" s="10" t="s">
        <v>267</v>
      </c>
      <c r="B111" s="11">
        <v>812</v>
      </c>
      <c r="C111" s="12" t="s">
        <v>29</v>
      </c>
      <c r="D111" s="11">
        <v>109</v>
      </c>
      <c r="E111" s="13" t="s">
        <v>268</v>
      </c>
      <c r="F111" s="14"/>
      <c r="G111" s="15"/>
    </row>
    <row r="112" spans="1:7" ht="14.25" customHeight="1">
      <c r="A112" s="10" t="s">
        <v>269</v>
      </c>
      <c r="B112" s="11">
        <v>813</v>
      </c>
      <c r="C112" s="12" t="s">
        <v>29</v>
      </c>
      <c r="D112" s="11">
        <v>110</v>
      </c>
      <c r="E112" s="13" t="s">
        <v>270</v>
      </c>
      <c r="F112" s="14"/>
      <c r="G112" s="15"/>
    </row>
    <row r="113" spans="1:11" ht="14.25" customHeight="1">
      <c r="A113" s="10" t="s">
        <v>271</v>
      </c>
      <c r="B113" s="11">
        <v>814</v>
      </c>
      <c r="C113" s="12" t="s">
        <v>29</v>
      </c>
      <c r="D113" s="11">
        <v>111</v>
      </c>
      <c r="E113" s="13" t="s">
        <v>272</v>
      </c>
      <c r="F113" s="14"/>
      <c r="G113" s="15"/>
    </row>
    <row r="114" spans="1:11" ht="14.25" customHeight="1">
      <c r="A114" s="10" t="s">
        <v>273</v>
      </c>
      <c r="B114" s="11">
        <v>815</v>
      </c>
      <c r="C114" s="12" t="s">
        <v>29</v>
      </c>
      <c r="D114" s="11">
        <v>112</v>
      </c>
      <c r="E114" s="13" t="s">
        <v>274</v>
      </c>
      <c r="F114" s="14"/>
      <c r="G114" s="15"/>
      <c r="K114" s="1" t="s">
        <v>275</v>
      </c>
    </row>
    <row r="115" spans="1:11" ht="14.25" customHeight="1">
      <c r="A115" s="10" t="s">
        <v>276</v>
      </c>
      <c r="B115" s="11">
        <v>816</v>
      </c>
      <c r="C115" s="12" t="s">
        <v>29</v>
      </c>
      <c r="D115" s="11">
        <v>113</v>
      </c>
      <c r="E115" s="13" t="s">
        <v>277</v>
      </c>
      <c r="F115" s="14"/>
      <c r="G115" s="15"/>
    </row>
    <row r="116" spans="1:11" ht="14.25" customHeight="1">
      <c r="A116" s="10" t="s">
        <v>278</v>
      </c>
      <c r="B116" s="11">
        <v>817</v>
      </c>
      <c r="C116" s="12" t="s">
        <v>29</v>
      </c>
      <c r="D116" s="11">
        <v>114</v>
      </c>
      <c r="E116" s="13" t="s">
        <v>279</v>
      </c>
      <c r="F116" s="14"/>
      <c r="G116" s="15"/>
    </row>
    <row r="117" spans="1:11" ht="14.25" customHeight="1">
      <c r="A117" s="10" t="s">
        <v>280</v>
      </c>
      <c r="B117" s="11">
        <v>818</v>
      </c>
      <c r="C117" s="12" t="s">
        <v>29</v>
      </c>
      <c r="D117" s="11">
        <v>115</v>
      </c>
      <c r="E117" s="13" t="s">
        <v>281</v>
      </c>
      <c r="F117" s="14"/>
      <c r="G117" s="15"/>
    </row>
    <row r="118" spans="1:11" ht="14.25" customHeight="1">
      <c r="A118" s="10" t="s">
        <v>282</v>
      </c>
      <c r="B118" s="11">
        <v>819</v>
      </c>
      <c r="C118" s="12" t="s">
        <v>29</v>
      </c>
      <c r="D118" s="11">
        <v>116</v>
      </c>
      <c r="E118" s="13" t="s">
        <v>283</v>
      </c>
      <c r="F118" s="14"/>
      <c r="G118" s="15"/>
    </row>
    <row r="119" spans="1:11" ht="14.25" customHeight="1">
      <c r="A119" s="10" t="s">
        <v>284</v>
      </c>
      <c r="B119" s="11">
        <v>820</v>
      </c>
      <c r="C119" s="12" t="s">
        <v>29</v>
      </c>
      <c r="D119" s="11">
        <v>117</v>
      </c>
      <c r="E119" s="13" t="s">
        <v>285</v>
      </c>
      <c r="F119" s="14"/>
      <c r="G119" s="15"/>
    </row>
    <row r="120" spans="1:11" ht="14.25" customHeight="1">
      <c r="A120" s="10" t="s">
        <v>286</v>
      </c>
      <c r="B120" s="11">
        <v>821</v>
      </c>
      <c r="C120" s="12" t="s">
        <v>29</v>
      </c>
      <c r="D120" s="11">
        <v>118</v>
      </c>
      <c r="E120" s="13" t="s">
        <v>287</v>
      </c>
      <c r="F120" s="14"/>
      <c r="G120" s="15"/>
    </row>
    <row r="121" spans="1:11" ht="14.25" customHeight="1">
      <c r="A121" s="10" t="s">
        <v>288</v>
      </c>
      <c r="B121" s="11">
        <v>822</v>
      </c>
      <c r="C121" s="12" t="s">
        <v>29</v>
      </c>
      <c r="D121" s="11">
        <v>119</v>
      </c>
      <c r="E121" s="13" t="s">
        <v>289</v>
      </c>
      <c r="F121" s="14"/>
      <c r="G121" s="15"/>
    </row>
    <row r="122" spans="1:11" ht="14.25" customHeight="1">
      <c r="A122" s="10" t="s">
        <v>290</v>
      </c>
      <c r="B122" s="11">
        <v>823</v>
      </c>
      <c r="C122" s="12" t="s">
        <v>29</v>
      </c>
      <c r="D122" s="11">
        <v>120</v>
      </c>
      <c r="E122" s="13" t="s">
        <v>291</v>
      </c>
      <c r="F122" s="14"/>
      <c r="G122" s="15"/>
    </row>
    <row r="123" spans="1:11" ht="14.25" customHeight="1">
      <c r="A123" s="13" t="s">
        <v>46</v>
      </c>
      <c r="B123" s="11">
        <v>500</v>
      </c>
      <c r="C123" s="13" t="s">
        <v>292</v>
      </c>
      <c r="D123" s="11">
        <v>121</v>
      </c>
      <c r="E123" s="13" t="s">
        <v>293</v>
      </c>
      <c r="F123" s="14"/>
      <c r="G123" s="15"/>
    </row>
    <row r="124" spans="1:11" ht="14.25" customHeight="1">
      <c r="A124" s="13" t="s">
        <v>294</v>
      </c>
      <c r="B124" s="11">
        <v>501</v>
      </c>
      <c r="C124" s="13" t="s">
        <v>292</v>
      </c>
      <c r="D124" s="11">
        <v>122</v>
      </c>
      <c r="E124" s="13" t="s">
        <v>295</v>
      </c>
      <c r="F124" s="14"/>
      <c r="G124" s="15"/>
    </row>
    <row r="125" spans="1:11" ht="14.25" customHeight="1">
      <c r="A125" s="13" t="s">
        <v>30</v>
      </c>
      <c r="B125" s="11">
        <v>502</v>
      </c>
      <c r="C125" s="13" t="s">
        <v>296</v>
      </c>
      <c r="D125" s="11">
        <v>123</v>
      </c>
      <c r="E125" s="13" t="s">
        <v>297</v>
      </c>
      <c r="F125" s="14"/>
      <c r="G125" s="15"/>
    </row>
    <row r="126" spans="1:11" ht="14.25" customHeight="1">
      <c r="A126" s="13" t="s">
        <v>35</v>
      </c>
      <c r="B126" s="11">
        <v>503</v>
      </c>
      <c r="C126" s="13" t="s">
        <v>298</v>
      </c>
      <c r="D126" s="11">
        <v>124</v>
      </c>
      <c r="E126" s="13" t="s">
        <v>299</v>
      </c>
      <c r="F126" s="14"/>
      <c r="G126" s="15"/>
    </row>
    <row r="127" spans="1:11" ht="14.25" customHeight="1">
      <c r="A127" s="13" t="s">
        <v>44</v>
      </c>
      <c r="B127" s="11">
        <v>504</v>
      </c>
      <c r="C127" s="13" t="s">
        <v>298</v>
      </c>
      <c r="D127" s="11">
        <v>125</v>
      </c>
      <c r="E127" s="13" t="s">
        <v>300</v>
      </c>
      <c r="F127" s="14"/>
      <c r="G127" s="15"/>
    </row>
    <row r="128" spans="1:11" ht="14.25" customHeight="1">
      <c r="A128" s="13" t="s">
        <v>301</v>
      </c>
      <c r="B128" s="11">
        <v>505</v>
      </c>
      <c r="C128" s="13" t="s">
        <v>298</v>
      </c>
      <c r="D128" s="11">
        <v>126</v>
      </c>
      <c r="E128" s="13" t="s">
        <v>302</v>
      </c>
      <c r="F128" s="14"/>
      <c r="G128" s="15"/>
    </row>
    <row r="129" spans="1:7" ht="14.25" customHeight="1">
      <c r="A129" s="13" t="s">
        <v>303</v>
      </c>
      <c r="B129" s="11">
        <v>506</v>
      </c>
      <c r="C129" s="13" t="s">
        <v>298</v>
      </c>
      <c r="D129" s="11">
        <v>127</v>
      </c>
      <c r="E129" s="13" t="s">
        <v>304</v>
      </c>
      <c r="F129" s="14"/>
      <c r="G129" s="15"/>
    </row>
    <row r="130" spans="1:7" ht="14.25" customHeight="1">
      <c r="A130" s="13" t="s">
        <v>305</v>
      </c>
      <c r="B130" s="11">
        <v>507</v>
      </c>
      <c r="C130" s="13" t="s">
        <v>306</v>
      </c>
      <c r="D130" s="11">
        <v>128</v>
      </c>
      <c r="E130" s="13" t="s">
        <v>307</v>
      </c>
      <c r="F130" s="14"/>
      <c r="G130" s="15"/>
    </row>
    <row r="131" spans="1:7" ht="14.25" customHeight="1">
      <c r="A131" s="13" t="s">
        <v>308</v>
      </c>
      <c r="B131" s="11">
        <v>508</v>
      </c>
      <c r="C131" s="13" t="s">
        <v>306</v>
      </c>
      <c r="D131" s="11">
        <v>129</v>
      </c>
      <c r="E131" s="13" t="s">
        <v>309</v>
      </c>
      <c r="F131" s="14"/>
      <c r="G131" s="15"/>
    </row>
    <row r="132" spans="1:7" ht="14.25" customHeight="1">
      <c r="A132" s="13" t="s">
        <v>310</v>
      </c>
      <c r="B132" s="11">
        <v>509</v>
      </c>
      <c r="C132" s="13" t="s">
        <v>306</v>
      </c>
      <c r="D132" s="11">
        <v>130</v>
      </c>
      <c r="E132" s="13" t="s">
        <v>311</v>
      </c>
      <c r="F132" s="14"/>
      <c r="G132" s="15"/>
    </row>
    <row r="133" spans="1:7" ht="14.25" customHeight="1">
      <c r="A133" s="13" t="s">
        <v>312</v>
      </c>
      <c r="B133" s="11">
        <v>510</v>
      </c>
      <c r="C133" s="13" t="s">
        <v>306</v>
      </c>
      <c r="D133" s="11">
        <v>131</v>
      </c>
      <c r="E133" s="13" t="s">
        <v>313</v>
      </c>
      <c r="F133" s="14"/>
      <c r="G133" s="15"/>
    </row>
    <row r="134" spans="1:7" ht="14.25" customHeight="1">
      <c r="A134" s="13" t="s">
        <v>314</v>
      </c>
      <c r="B134" s="11">
        <v>511</v>
      </c>
      <c r="C134" s="13" t="s">
        <v>306</v>
      </c>
      <c r="D134" s="11">
        <v>132</v>
      </c>
      <c r="E134" s="13" t="s">
        <v>315</v>
      </c>
      <c r="F134" s="14"/>
      <c r="G134" s="15"/>
    </row>
    <row r="135" spans="1:7" ht="14.25" customHeight="1">
      <c r="A135" s="13" t="s">
        <v>36</v>
      </c>
      <c r="B135" s="11">
        <v>512</v>
      </c>
      <c r="C135" s="13" t="s">
        <v>316</v>
      </c>
      <c r="D135" s="11">
        <v>133</v>
      </c>
      <c r="E135" s="13" t="s">
        <v>317</v>
      </c>
      <c r="F135" s="14"/>
      <c r="G135" s="15"/>
    </row>
    <row r="136" spans="1:7" ht="14.25" customHeight="1">
      <c r="A136" s="13" t="s">
        <v>318</v>
      </c>
      <c r="B136" s="11">
        <v>513</v>
      </c>
      <c r="C136" s="13" t="s">
        <v>319</v>
      </c>
      <c r="D136" s="11">
        <v>134</v>
      </c>
      <c r="E136" s="13" t="s">
        <v>320</v>
      </c>
      <c r="F136" s="14"/>
      <c r="G136" s="15"/>
    </row>
    <row r="137" spans="1:7" ht="14.25" customHeight="1">
      <c r="A137" s="13" t="s">
        <v>45</v>
      </c>
      <c r="B137" s="11">
        <v>514</v>
      </c>
      <c r="C137" s="13" t="s">
        <v>319</v>
      </c>
      <c r="D137" s="11">
        <v>135</v>
      </c>
      <c r="E137" s="13" t="s">
        <v>321</v>
      </c>
      <c r="F137" s="14"/>
      <c r="G137" s="15"/>
    </row>
    <row r="138" spans="1:7" ht="14.25" customHeight="1">
      <c r="A138" s="13" t="s">
        <v>322</v>
      </c>
      <c r="B138" s="11">
        <v>515</v>
      </c>
      <c r="C138" s="13" t="s">
        <v>319</v>
      </c>
      <c r="D138" s="11">
        <v>136</v>
      </c>
      <c r="E138" s="13" t="s">
        <v>323</v>
      </c>
      <c r="F138" s="14"/>
      <c r="G138" s="15"/>
    </row>
    <row r="139" spans="1:7" ht="14.25" customHeight="1">
      <c r="A139" s="13" t="s">
        <v>324</v>
      </c>
      <c r="B139" s="11">
        <v>516</v>
      </c>
      <c r="C139" s="13" t="s">
        <v>296</v>
      </c>
      <c r="D139" s="11">
        <v>137</v>
      </c>
      <c r="E139" s="13" t="s">
        <v>325</v>
      </c>
      <c r="F139" s="14"/>
      <c r="G139" s="15"/>
    </row>
    <row r="140" spans="1:7" ht="14.25" customHeight="1">
      <c r="A140" s="13" t="s">
        <v>326</v>
      </c>
      <c r="B140" s="11">
        <v>517</v>
      </c>
      <c r="C140" s="13" t="s">
        <v>319</v>
      </c>
      <c r="D140" s="11">
        <v>138</v>
      </c>
      <c r="E140" s="13" t="s">
        <v>327</v>
      </c>
      <c r="F140" s="14"/>
      <c r="G140" s="15"/>
    </row>
    <row r="141" spans="1:7" ht="14.25" customHeight="1">
      <c r="A141" s="13" t="s">
        <v>328</v>
      </c>
      <c r="B141" s="11">
        <v>518</v>
      </c>
      <c r="C141" s="13" t="s">
        <v>319</v>
      </c>
      <c r="D141" s="11">
        <v>139</v>
      </c>
      <c r="E141" s="13" t="s">
        <v>329</v>
      </c>
      <c r="F141" s="14"/>
      <c r="G141" s="15"/>
    </row>
    <row r="142" spans="1:7" ht="14.25" customHeight="1">
      <c r="C142" s="3"/>
    </row>
  </sheetData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12">
    <tabColor rgb="FFFFC000"/>
  </sheetPr>
  <dimension ref="A1:J145"/>
  <sheetViews>
    <sheetView workbookViewId="0">
      <selection activeCell="A4" sqref="A4:A24"/>
    </sheetView>
  </sheetViews>
  <sheetFormatPr defaultColWidth="9" defaultRowHeight="15.6"/>
  <cols>
    <col min="1" max="1" width="18.09765625" style="1" customWidth="1"/>
    <col min="2" max="3" width="9" style="1"/>
    <col min="4" max="4" width="16.8984375" style="1" customWidth="1"/>
    <col min="5" max="16384" width="9" style="1"/>
  </cols>
  <sheetData>
    <row r="1" spans="1:10" ht="14.25" customHeight="1">
      <c r="A1" s="208" t="s">
        <v>330</v>
      </c>
      <c r="B1" s="208"/>
      <c r="C1" s="2"/>
      <c r="D1" s="2"/>
      <c r="E1" s="2"/>
      <c r="F1" s="2"/>
      <c r="G1" s="2"/>
      <c r="H1" s="2"/>
      <c r="I1" s="2"/>
      <c r="J1" s="2"/>
    </row>
    <row r="2" spans="1:10" ht="14.25" customHeight="1">
      <c r="A2" s="208"/>
      <c r="B2" s="208"/>
      <c r="C2" s="2"/>
      <c r="D2" s="2"/>
      <c r="E2" s="2"/>
      <c r="F2" s="2"/>
      <c r="G2" s="2"/>
      <c r="H2" s="2"/>
      <c r="I2" s="2"/>
      <c r="J2" s="2"/>
    </row>
    <row r="3" spans="1:10">
      <c r="A3" s="3" t="s">
        <v>331</v>
      </c>
      <c r="B3" s="3" t="s">
        <v>332</v>
      </c>
      <c r="C3" s="3"/>
      <c r="D3" s="3"/>
      <c r="E3" s="3"/>
    </row>
    <row r="4" spans="1:10">
      <c r="A4" s="3" t="s">
        <v>42</v>
      </c>
      <c r="B4" s="3">
        <v>0.77</v>
      </c>
      <c r="C4" s="4"/>
      <c r="D4" s="3"/>
      <c r="E4" s="4"/>
    </row>
    <row r="5" spans="1:10">
      <c r="A5" s="3" t="s">
        <v>333</v>
      </c>
      <c r="B5" s="5">
        <v>0.66</v>
      </c>
      <c r="C5" s="4"/>
      <c r="D5" s="3"/>
      <c r="E5" s="4"/>
    </row>
    <row r="6" spans="1:10">
      <c r="A6" s="3" t="s">
        <v>334</v>
      </c>
      <c r="B6" s="3">
        <v>0.55000000000000004</v>
      </c>
      <c r="C6" s="4"/>
      <c r="D6" s="3"/>
      <c r="E6" s="4"/>
    </row>
    <row r="7" spans="1:10">
      <c r="A7" s="3" t="s">
        <v>335</v>
      </c>
      <c r="B7" s="3">
        <v>0.7</v>
      </c>
      <c r="C7" s="4"/>
      <c r="D7" s="3"/>
      <c r="E7" s="4"/>
    </row>
    <row r="8" spans="1:10">
      <c r="A8" s="3" t="s">
        <v>336</v>
      </c>
      <c r="B8" s="5">
        <v>0.56000000000000005</v>
      </c>
      <c r="C8" s="4"/>
      <c r="D8" s="3"/>
      <c r="E8" s="4"/>
    </row>
    <row r="9" spans="1:10">
      <c r="A9" s="3" t="s">
        <v>337</v>
      </c>
      <c r="B9" s="3">
        <v>0.68</v>
      </c>
      <c r="C9" s="4"/>
      <c r="D9" s="3"/>
      <c r="E9" s="4"/>
    </row>
    <row r="10" spans="1:10">
      <c r="A10" s="3" t="s">
        <v>338</v>
      </c>
      <c r="B10" s="3">
        <v>0.83</v>
      </c>
      <c r="C10" s="4"/>
      <c r="D10" s="3"/>
      <c r="E10" s="4"/>
    </row>
    <row r="11" spans="1:10">
      <c r="A11" s="3" t="s">
        <v>339</v>
      </c>
      <c r="B11" s="3">
        <v>0.83</v>
      </c>
      <c r="C11" s="4"/>
      <c r="D11" s="3"/>
      <c r="E11" s="4"/>
    </row>
    <row r="12" spans="1:10">
      <c r="A12" s="3" t="s">
        <v>340</v>
      </c>
      <c r="B12" s="3">
        <v>0.83</v>
      </c>
      <c r="C12" s="4"/>
      <c r="D12" s="3"/>
      <c r="E12" s="4"/>
    </row>
    <row r="13" spans="1:10">
      <c r="A13" s="3" t="s">
        <v>341</v>
      </c>
      <c r="B13" s="3">
        <v>0.83</v>
      </c>
      <c r="C13" s="4"/>
      <c r="D13" s="3"/>
      <c r="E13" s="4"/>
    </row>
    <row r="14" spans="1:10">
      <c r="A14" s="3" t="s">
        <v>342</v>
      </c>
      <c r="B14" s="3">
        <v>0.83</v>
      </c>
      <c r="C14" s="4"/>
      <c r="D14" s="3"/>
      <c r="E14" s="4"/>
    </row>
    <row r="15" spans="1:10">
      <c r="A15" s="3" t="s">
        <v>343</v>
      </c>
      <c r="B15" s="3">
        <v>0.83</v>
      </c>
      <c r="C15" s="4"/>
      <c r="D15" s="3"/>
      <c r="E15" s="4"/>
    </row>
    <row r="16" spans="1:10">
      <c r="A16" s="3" t="s">
        <v>344</v>
      </c>
      <c r="B16" s="3">
        <v>0.83</v>
      </c>
      <c r="C16" s="4"/>
      <c r="D16" s="3"/>
      <c r="E16" s="4"/>
    </row>
    <row r="17" spans="1:5">
      <c r="A17" s="3" t="s">
        <v>345</v>
      </c>
      <c r="B17" s="3">
        <v>0.83</v>
      </c>
      <c r="C17" s="4"/>
      <c r="D17" s="3"/>
      <c r="E17" s="4"/>
    </row>
    <row r="18" spans="1:5">
      <c r="A18" s="3" t="s">
        <v>346</v>
      </c>
      <c r="B18" s="3">
        <v>0.83</v>
      </c>
      <c r="C18" s="4"/>
      <c r="D18" s="3"/>
      <c r="E18" s="4"/>
    </row>
    <row r="19" spans="1:5">
      <c r="A19" s="3" t="s">
        <v>347</v>
      </c>
      <c r="B19" s="3">
        <v>0.83</v>
      </c>
      <c r="C19" s="4"/>
      <c r="D19" s="3"/>
      <c r="E19" s="4"/>
    </row>
    <row r="20" spans="1:5">
      <c r="A20" s="3" t="s">
        <v>348</v>
      </c>
      <c r="B20" s="3">
        <v>0.83</v>
      </c>
      <c r="C20" s="4"/>
      <c r="D20" s="3"/>
      <c r="E20" s="4"/>
    </row>
    <row r="21" spans="1:5">
      <c r="A21" s="3" t="s">
        <v>349</v>
      </c>
      <c r="B21" s="3">
        <v>0.83</v>
      </c>
      <c r="C21" s="4"/>
      <c r="D21" s="3"/>
      <c r="E21" s="4"/>
    </row>
    <row r="22" spans="1:5">
      <c r="A22" s="3" t="s">
        <v>350</v>
      </c>
      <c r="B22" s="3">
        <v>0.83</v>
      </c>
      <c r="C22" s="4"/>
      <c r="D22" s="3"/>
      <c r="E22" s="3"/>
    </row>
    <row r="23" spans="1:5">
      <c r="A23" s="3" t="s">
        <v>351</v>
      </c>
      <c r="B23" s="3">
        <v>0.83</v>
      </c>
      <c r="C23" s="4"/>
      <c r="D23" s="3"/>
      <c r="E23" s="3"/>
    </row>
    <row r="24" spans="1:5">
      <c r="A24" s="3" t="s">
        <v>352</v>
      </c>
      <c r="B24" s="3">
        <v>0.83</v>
      </c>
      <c r="C24" s="4"/>
      <c r="D24" s="3"/>
      <c r="E24" s="3"/>
    </row>
    <row r="25" spans="1:5">
      <c r="A25" s="3"/>
      <c r="B25" s="3"/>
      <c r="C25" s="3"/>
      <c r="D25" s="3"/>
      <c r="E25" s="3"/>
    </row>
    <row r="26" spans="1:5">
      <c r="A26" s="3"/>
      <c r="B26" s="3"/>
      <c r="C26" s="3"/>
      <c r="D26" s="3"/>
      <c r="E26" s="3"/>
    </row>
    <row r="27" spans="1:5">
      <c r="A27" s="3"/>
      <c r="B27" s="3"/>
      <c r="C27" s="3"/>
      <c r="D27" s="3"/>
      <c r="E27" s="3"/>
    </row>
    <row r="28" spans="1:5">
      <c r="A28" s="3"/>
      <c r="B28" s="3"/>
      <c r="C28" s="3"/>
      <c r="D28" s="3"/>
      <c r="E28" s="3"/>
    </row>
    <row r="29" spans="1:5">
      <c r="A29" s="3"/>
      <c r="B29" s="3"/>
      <c r="C29" s="3"/>
      <c r="D29" s="3"/>
      <c r="E29" s="3"/>
    </row>
    <row r="30" spans="1:5">
      <c r="A30" s="3"/>
      <c r="B30" s="3"/>
      <c r="C30" s="3"/>
      <c r="D30" s="3"/>
      <c r="E30" s="3"/>
    </row>
    <row r="31" spans="1:5">
      <c r="A31" s="3"/>
      <c r="B31" s="3"/>
      <c r="C31" s="3"/>
      <c r="D31" s="3"/>
      <c r="E31" s="3"/>
    </row>
    <row r="32" spans="1:5">
      <c r="A32" s="3"/>
      <c r="B32" s="3"/>
      <c r="C32" s="3"/>
      <c r="D32" s="3"/>
      <c r="E32" s="3"/>
    </row>
    <row r="33" spans="1:5">
      <c r="A33" s="3"/>
      <c r="B33" s="3"/>
      <c r="C33" s="3"/>
      <c r="D33" s="3"/>
      <c r="E33" s="3"/>
    </row>
    <row r="34" spans="1:5">
      <c r="A34" s="3"/>
      <c r="B34" s="3"/>
      <c r="C34" s="3"/>
      <c r="D34" s="3"/>
      <c r="E34" s="3"/>
    </row>
    <row r="35" spans="1:5">
      <c r="A35" s="3"/>
      <c r="B35" s="3"/>
      <c r="C35" s="3"/>
      <c r="D35" s="3"/>
      <c r="E35" s="3"/>
    </row>
    <row r="36" spans="1:5">
      <c r="A36" s="3"/>
      <c r="B36" s="3"/>
      <c r="C36" s="3"/>
      <c r="D36" s="3"/>
      <c r="E36" s="3"/>
    </row>
    <row r="37" spans="1:5">
      <c r="A37" s="3"/>
      <c r="B37" s="3"/>
      <c r="C37" s="3"/>
      <c r="D37" s="3"/>
      <c r="E37" s="3"/>
    </row>
    <row r="38" spans="1:5">
      <c r="A38" s="3"/>
      <c r="B38" s="3"/>
      <c r="C38" s="3"/>
      <c r="D38" s="3"/>
      <c r="E38" s="3"/>
    </row>
    <row r="39" spans="1:5">
      <c r="A39" s="3"/>
      <c r="B39" s="3"/>
      <c r="C39" s="3"/>
      <c r="D39" s="3"/>
      <c r="E39" s="3"/>
    </row>
    <row r="40" spans="1:5">
      <c r="A40" s="3"/>
      <c r="B40" s="3"/>
      <c r="C40" s="3"/>
      <c r="D40" s="3"/>
      <c r="E40" s="3"/>
    </row>
    <row r="41" spans="1:5">
      <c r="A41" s="3"/>
      <c r="B41" s="3"/>
      <c r="C41" s="3"/>
      <c r="D41" s="3"/>
      <c r="E41" s="3"/>
    </row>
    <row r="42" spans="1:5">
      <c r="A42" s="3"/>
      <c r="B42" s="3"/>
      <c r="C42" s="3"/>
      <c r="D42" s="3"/>
      <c r="E42" s="3"/>
    </row>
    <row r="43" spans="1:5">
      <c r="A43" s="3"/>
      <c r="B43" s="3"/>
      <c r="C43" s="3"/>
      <c r="D43" s="3"/>
      <c r="E43" s="3"/>
    </row>
    <row r="44" spans="1:5">
      <c r="A44" s="3"/>
      <c r="B44" s="3"/>
      <c r="C44" s="3"/>
      <c r="D44" s="3"/>
      <c r="E44" s="3"/>
    </row>
    <row r="45" spans="1:5">
      <c r="A45" s="3"/>
      <c r="B45" s="3"/>
      <c r="C45" s="3"/>
      <c r="D45" s="3"/>
      <c r="E45" s="3"/>
    </row>
    <row r="46" spans="1:5">
      <c r="A46" s="3"/>
      <c r="B46" s="3"/>
      <c r="C46" s="3"/>
      <c r="D46" s="3"/>
      <c r="E46" s="3"/>
    </row>
    <row r="47" spans="1:5">
      <c r="A47" s="3"/>
      <c r="B47" s="3"/>
      <c r="C47" s="3"/>
      <c r="D47" s="3"/>
      <c r="E47" s="3"/>
    </row>
    <row r="48" spans="1:5">
      <c r="A48" s="3"/>
      <c r="B48" s="3"/>
      <c r="C48" s="3"/>
      <c r="D48" s="3"/>
      <c r="E48" s="3"/>
    </row>
    <row r="49" spans="1:5">
      <c r="A49" s="3"/>
      <c r="B49" s="3"/>
      <c r="C49" s="3"/>
      <c r="D49" s="3"/>
      <c r="E49" s="3"/>
    </row>
    <row r="50" spans="1:5">
      <c r="A50" s="3"/>
      <c r="B50" s="3"/>
      <c r="C50" s="3"/>
      <c r="D50" s="3"/>
      <c r="E50" s="3"/>
    </row>
    <row r="51" spans="1:5">
      <c r="A51" s="3"/>
      <c r="B51" s="3"/>
      <c r="C51" s="3"/>
      <c r="D51" s="3"/>
      <c r="E51" s="3"/>
    </row>
    <row r="52" spans="1:5">
      <c r="A52" s="3"/>
      <c r="B52" s="3"/>
      <c r="C52" s="3"/>
      <c r="D52" s="3"/>
      <c r="E52" s="3"/>
    </row>
    <row r="53" spans="1:5">
      <c r="A53" s="3"/>
      <c r="B53" s="3"/>
      <c r="C53" s="3"/>
      <c r="D53" s="3"/>
      <c r="E53" s="3"/>
    </row>
    <row r="54" spans="1:5">
      <c r="A54" s="3"/>
      <c r="B54" s="3"/>
      <c r="C54" s="3"/>
      <c r="D54" s="3"/>
      <c r="E54" s="3"/>
    </row>
    <row r="55" spans="1:5">
      <c r="A55" s="3"/>
      <c r="B55" s="3"/>
      <c r="C55" s="3"/>
      <c r="D55" s="3"/>
      <c r="E55" s="3"/>
    </row>
    <row r="56" spans="1:5">
      <c r="A56" s="3"/>
      <c r="B56" s="3"/>
      <c r="C56" s="3"/>
      <c r="D56" s="3"/>
      <c r="E56" s="3"/>
    </row>
    <row r="57" spans="1:5">
      <c r="A57" s="3"/>
      <c r="B57" s="3"/>
      <c r="C57" s="3"/>
      <c r="D57" s="3"/>
      <c r="E57" s="3"/>
    </row>
    <row r="58" spans="1:5">
      <c r="A58" s="3"/>
      <c r="B58" s="3"/>
      <c r="C58" s="3"/>
      <c r="D58" s="3"/>
      <c r="E58" s="3"/>
    </row>
    <row r="59" spans="1:5">
      <c r="A59" s="3"/>
      <c r="B59" s="3"/>
      <c r="C59" s="3"/>
      <c r="D59" s="3"/>
      <c r="E59" s="3"/>
    </row>
    <row r="60" spans="1:5">
      <c r="A60" s="3"/>
      <c r="B60" s="3"/>
      <c r="C60" s="3"/>
      <c r="D60" s="3"/>
      <c r="E60" s="3"/>
    </row>
    <row r="61" spans="1:5">
      <c r="A61" s="3"/>
      <c r="B61" s="3"/>
      <c r="C61" s="3"/>
      <c r="D61" s="3"/>
      <c r="E61" s="3"/>
    </row>
    <row r="62" spans="1:5">
      <c r="A62" s="3"/>
      <c r="B62" s="3"/>
      <c r="C62" s="3"/>
      <c r="D62" s="3"/>
      <c r="E62" s="3"/>
    </row>
    <row r="63" spans="1:5">
      <c r="A63" s="3"/>
      <c r="B63" s="3"/>
      <c r="C63" s="3"/>
      <c r="D63" s="3"/>
      <c r="E63" s="3"/>
    </row>
    <row r="64" spans="1:5">
      <c r="A64" s="3"/>
      <c r="B64" s="3"/>
      <c r="C64" s="3"/>
      <c r="D64" s="3"/>
      <c r="E64" s="3"/>
    </row>
    <row r="65" spans="1:5">
      <c r="A65" s="3"/>
      <c r="B65" s="3"/>
      <c r="C65" s="3"/>
      <c r="D65" s="3"/>
      <c r="E65" s="3"/>
    </row>
    <row r="66" spans="1:5">
      <c r="A66" s="3"/>
      <c r="B66" s="3"/>
      <c r="C66" s="3"/>
      <c r="D66" s="3"/>
      <c r="E66" s="3"/>
    </row>
    <row r="67" spans="1:5">
      <c r="A67" s="3"/>
      <c r="B67" s="3"/>
      <c r="C67" s="3"/>
      <c r="D67" s="3"/>
      <c r="E67" s="3"/>
    </row>
    <row r="68" spans="1:5">
      <c r="A68" s="3"/>
      <c r="B68" s="3"/>
      <c r="C68" s="3"/>
      <c r="D68" s="3"/>
      <c r="E68" s="3"/>
    </row>
    <row r="69" spans="1:5">
      <c r="A69" s="3"/>
      <c r="B69" s="3"/>
      <c r="C69" s="3"/>
      <c r="D69" s="3"/>
      <c r="E69" s="3"/>
    </row>
    <row r="70" spans="1:5">
      <c r="A70" s="3"/>
      <c r="B70" s="3"/>
      <c r="C70" s="3"/>
      <c r="D70" s="3"/>
      <c r="E70" s="3"/>
    </row>
    <row r="71" spans="1:5">
      <c r="A71" s="3"/>
      <c r="B71" s="3"/>
      <c r="C71" s="3"/>
      <c r="D71" s="3"/>
      <c r="E71" s="3"/>
    </row>
    <row r="72" spans="1:5">
      <c r="A72" s="3"/>
      <c r="B72" s="3"/>
      <c r="C72" s="3"/>
      <c r="D72" s="3"/>
      <c r="E72" s="3"/>
    </row>
    <row r="73" spans="1:5">
      <c r="A73" s="3"/>
      <c r="B73" s="3"/>
      <c r="C73" s="3"/>
      <c r="D73" s="3"/>
      <c r="E73" s="3"/>
    </row>
    <row r="74" spans="1:5">
      <c r="A74" s="3"/>
      <c r="B74" s="3"/>
      <c r="C74" s="3"/>
      <c r="D74" s="3"/>
      <c r="E74" s="3"/>
    </row>
    <row r="75" spans="1:5">
      <c r="A75" s="3"/>
      <c r="B75" s="3"/>
      <c r="C75" s="3"/>
      <c r="D75" s="3"/>
      <c r="E75" s="3"/>
    </row>
    <row r="76" spans="1:5">
      <c r="A76" s="3"/>
      <c r="B76" s="3"/>
      <c r="C76" s="3"/>
      <c r="D76" s="3"/>
      <c r="E76" s="3"/>
    </row>
    <row r="77" spans="1:5">
      <c r="A77" s="3"/>
      <c r="B77" s="3"/>
      <c r="C77" s="3"/>
      <c r="D77" s="3"/>
      <c r="E77" s="3"/>
    </row>
    <row r="78" spans="1:5">
      <c r="A78" s="3"/>
      <c r="B78" s="3"/>
      <c r="C78" s="3"/>
      <c r="D78" s="3"/>
      <c r="E78" s="3"/>
    </row>
    <row r="79" spans="1:5">
      <c r="A79" s="3"/>
      <c r="B79" s="3"/>
      <c r="C79" s="3"/>
      <c r="D79" s="3"/>
      <c r="E79" s="3"/>
    </row>
    <row r="80" spans="1:5">
      <c r="A80" s="3"/>
      <c r="B80" s="3"/>
      <c r="C80" s="3"/>
      <c r="D80" s="3"/>
      <c r="E80" s="3"/>
    </row>
    <row r="81" spans="1:5">
      <c r="A81" s="3"/>
      <c r="B81" s="3"/>
      <c r="C81" s="3"/>
      <c r="D81" s="3"/>
      <c r="E81" s="3"/>
    </row>
    <row r="82" spans="1:5">
      <c r="A82" s="3"/>
      <c r="B82" s="3"/>
      <c r="C82" s="3"/>
      <c r="D82" s="3"/>
      <c r="E82" s="3"/>
    </row>
    <row r="83" spans="1:5">
      <c r="A83" s="3"/>
      <c r="B83" s="3"/>
      <c r="C83" s="3"/>
      <c r="D83" s="3"/>
      <c r="E83" s="3"/>
    </row>
    <row r="84" spans="1:5">
      <c r="A84" s="3"/>
      <c r="B84" s="3"/>
      <c r="C84" s="3"/>
      <c r="D84" s="3"/>
      <c r="E84" s="3"/>
    </row>
    <row r="85" spans="1:5">
      <c r="A85" s="3"/>
      <c r="B85" s="3"/>
      <c r="C85" s="3"/>
      <c r="D85" s="3"/>
      <c r="E85" s="3"/>
    </row>
    <row r="86" spans="1:5">
      <c r="A86" s="3"/>
      <c r="B86" s="3"/>
      <c r="C86" s="3"/>
      <c r="D86" s="3"/>
      <c r="E86" s="3"/>
    </row>
    <row r="87" spans="1:5">
      <c r="A87" s="3"/>
      <c r="B87" s="3"/>
      <c r="C87" s="3"/>
      <c r="D87" s="3"/>
      <c r="E87" s="3"/>
    </row>
    <row r="88" spans="1:5">
      <c r="A88" s="3"/>
      <c r="B88" s="3"/>
      <c r="C88" s="3"/>
      <c r="D88" s="3"/>
      <c r="E88" s="3"/>
    </row>
    <row r="89" spans="1:5">
      <c r="A89" s="3"/>
      <c r="B89" s="3"/>
      <c r="C89" s="3"/>
      <c r="D89" s="3"/>
      <c r="E89" s="3"/>
    </row>
    <row r="90" spans="1:5">
      <c r="A90" s="3"/>
      <c r="B90" s="3"/>
      <c r="C90" s="3"/>
      <c r="D90" s="3"/>
      <c r="E90" s="3"/>
    </row>
    <row r="91" spans="1:5">
      <c r="A91" s="3"/>
      <c r="B91" s="3"/>
      <c r="C91" s="3"/>
      <c r="D91" s="3"/>
      <c r="E91" s="3"/>
    </row>
    <row r="92" spans="1:5">
      <c r="A92" s="3"/>
      <c r="B92" s="3"/>
      <c r="C92" s="3"/>
      <c r="D92" s="3"/>
      <c r="E92" s="3"/>
    </row>
    <row r="93" spans="1:5">
      <c r="A93" s="3"/>
      <c r="B93" s="3"/>
      <c r="C93" s="3"/>
      <c r="D93" s="3"/>
      <c r="E93" s="3"/>
    </row>
    <row r="94" spans="1:5">
      <c r="A94" s="3"/>
      <c r="B94" s="3"/>
      <c r="C94" s="3"/>
      <c r="D94" s="3"/>
      <c r="E94" s="3"/>
    </row>
    <row r="95" spans="1:5">
      <c r="A95" s="3"/>
      <c r="B95" s="3"/>
      <c r="C95" s="3"/>
      <c r="D95" s="3"/>
      <c r="E95" s="3"/>
    </row>
    <row r="96" spans="1:5">
      <c r="A96" s="3"/>
      <c r="B96" s="3"/>
      <c r="C96" s="3"/>
      <c r="D96" s="3"/>
      <c r="E96" s="3"/>
    </row>
    <row r="97" spans="1:5">
      <c r="A97" s="3"/>
      <c r="B97" s="3"/>
      <c r="C97" s="3"/>
      <c r="D97" s="3"/>
      <c r="E97" s="3"/>
    </row>
    <row r="98" spans="1:5">
      <c r="A98" s="3"/>
      <c r="B98" s="3"/>
      <c r="C98" s="3"/>
      <c r="D98" s="3"/>
      <c r="E98" s="3"/>
    </row>
    <row r="99" spans="1:5">
      <c r="A99" s="3"/>
      <c r="B99" s="3"/>
      <c r="C99" s="3"/>
      <c r="D99" s="3"/>
      <c r="E99" s="3"/>
    </row>
    <row r="100" spans="1:5">
      <c r="A100" s="3"/>
      <c r="B100" s="3"/>
      <c r="C100" s="3"/>
      <c r="D100" s="3"/>
      <c r="E100" s="3"/>
    </row>
    <row r="101" spans="1:5">
      <c r="A101" s="3"/>
      <c r="B101" s="3"/>
      <c r="C101" s="3"/>
      <c r="D101" s="3"/>
      <c r="E101" s="3"/>
    </row>
    <row r="102" spans="1:5">
      <c r="A102" s="3"/>
      <c r="B102" s="3"/>
      <c r="C102" s="3"/>
      <c r="D102" s="3"/>
      <c r="E102" s="3"/>
    </row>
    <row r="103" spans="1:5">
      <c r="A103" s="3"/>
      <c r="B103" s="3"/>
      <c r="C103" s="3"/>
      <c r="D103" s="3"/>
      <c r="E103" s="3"/>
    </row>
    <row r="104" spans="1:5">
      <c r="A104" s="3"/>
      <c r="B104" s="3"/>
      <c r="C104" s="3"/>
      <c r="D104" s="3"/>
      <c r="E104" s="3"/>
    </row>
    <row r="105" spans="1:5">
      <c r="A105" s="3"/>
      <c r="B105" s="3"/>
      <c r="C105" s="3"/>
      <c r="D105" s="3"/>
      <c r="E105" s="3"/>
    </row>
    <row r="106" spans="1:5">
      <c r="A106" s="3"/>
      <c r="B106" s="3"/>
      <c r="C106" s="3"/>
      <c r="D106" s="3"/>
      <c r="E106" s="3"/>
    </row>
    <row r="107" spans="1:5">
      <c r="A107" s="3"/>
      <c r="B107" s="3"/>
      <c r="C107" s="3"/>
      <c r="D107" s="3"/>
      <c r="E107" s="3"/>
    </row>
    <row r="108" spans="1:5">
      <c r="A108" s="3"/>
      <c r="B108" s="3"/>
      <c r="C108" s="3"/>
      <c r="D108" s="3"/>
      <c r="E108" s="3"/>
    </row>
    <row r="109" spans="1:5">
      <c r="A109" s="3"/>
      <c r="B109" s="3"/>
      <c r="C109" s="3"/>
      <c r="D109" s="3"/>
      <c r="E109" s="3"/>
    </row>
    <row r="110" spans="1:5">
      <c r="A110" s="3"/>
      <c r="B110" s="3"/>
      <c r="C110" s="3"/>
      <c r="D110" s="3"/>
      <c r="E110" s="3"/>
    </row>
    <row r="111" spans="1:5">
      <c r="A111" s="3"/>
      <c r="B111" s="3"/>
      <c r="C111" s="3"/>
      <c r="D111" s="3"/>
      <c r="E111" s="3"/>
    </row>
    <row r="112" spans="1:5">
      <c r="A112" s="3"/>
      <c r="B112" s="3"/>
      <c r="C112" s="3"/>
      <c r="D112" s="3"/>
      <c r="E112" s="3"/>
    </row>
    <row r="113" spans="1:5">
      <c r="A113" s="3"/>
      <c r="B113" s="3"/>
      <c r="C113" s="3"/>
      <c r="D113" s="3"/>
      <c r="E113" s="3"/>
    </row>
    <row r="114" spans="1:5">
      <c r="A114" s="3"/>
      <c r="B114" s="3"/>
      <c r="C114" s="3"/>
      <c r="D114" s="3"/>
      <c r="E114" s="3"/>
    </row>
    <row r="115" spans="1:5">
      <c r="A115" s="3"/>
      <c r="B115" s="3"/>
      <c r="C115" s="3"/>
      <c r="D115" s="3"/>
      <c r="E115" s="3"/>
    </row>
    <row r="116" spans="1:5">
      <c r="A116" s="3"/>
      <c r="B116" s="3"/>
      <c r="C116" s="3"/>
      <c r="D116" s="3"/>
      <c r="E116" s="3"/>
    </row>
    <row r="117" spans="1:5">
      <c r="A117" s="3"/>
      <c r="B117" s="3"/>
      <c r="C117" s="3"/>
      <c r="D117" s="3"/>
      <c r="E117" s="3"/>
    </row>
    <row r="118" spans="1:5">
      <c r="A118" s="3"/>
      <c r="B118" s="3"/>
      <c r="C118" s="3"/>
      <c r="D118" s="3"/>
      <c r="E118" s="3"/>
    </row>
    <row r="119" spans="1:5">
      <c r="A119" s="3"/>
      <c r="B119" s="3"/>
      <c r="C119" s="3"/>
      <c r="D119" s="3"/>
      <c r="E119" s="3"/>
    </row>
    <row r="120" spans="1:5">
      <c r="A120" s="3"/>
      <c r="B120" s="3"/>
      <c r="C120" s="3"/>
      <c r="D120" s="3"/>
      <c r="E120" s="3"/>
    </row>
    <row r="121" spans="1:5">
      <c r="A121" s="3"/>
      <c r="B121" s="3"/>
      <c r="C121" s="3"/>
      <c r="D121" s="3"/>
      <c r="E121" s="3"/>
    </row>
    <row r="122" spans="1:5">
      <c r="A122" s="3"/>
      <c r="B122" s="3"/>
      <c r="C122" s="3"/>
      <c r="D122" s="3"/>
      <c r="E122" s="3"/>
    </row>
    <row r="123" spans="1:5">
      <c r="A123" s="3"/>
      <c r="B123" s="3"/>
      <c r="C123" s="3"/>
      <c r="D123" s="3"/>
      <c r="E123" s="3"/>
    </row>
    <row r="124" spans="1:5">
      <c r="A124" s="3"/>
      <c r="B124" s="3"/>
      <c r="C124" s="3"/>
      <c r="D124" s="3"/>
      <c r="E124" s="3"/>
    </row>
    <row r="125" spans="1:5">
      <c r="A125" s="3"/>
      <c r="B125" s="3"/>
      <c r="C125" s="3"/>
      <c r="D125" s="3"/>
      <c r="E125" s="3"/>
    </row>
    <row r="126" spans="1:5">
      <c r="A126" s="3"/>
      <c r="B126" s="3"/>
      <c r="C126" s="3"/>
      <c r="D126" s="3"/>
      <c r="E126" s="3"/>
    </row>
    <row r="127" spans="1:5">
      <c r="A127" s="3"/>
      <c r="B127" s="3"/>
      <c r="C127" s="3"/>
      <c r="D127" s="3"/>
      <c r="E127" s="3"/>
    </row>
    <row r="128" spans="1:5">
      <c r="A128" s="3"/>
      <c r="B128" s="3"/>
      <c r="C128" s="3"/>
      <c r="D128" s="3"/>
      <c r="E128" s="3"/>
    </row>
    <row r="129" spans="1:5">
      <c r="A129" s="3"/>
      <c r="B129" s="3"/>
      <c r="C129" s="3"/>
      <c r="D129" s="3"/>
      <c r="E129" s="3"/>
    </row>
    <row r="130" spans="1:5">
      <c r="A130" s="3"/>
      <c r="B130" s="3"/>
      <c r="C130" s="3"/>
      <c r="D130" s="3"/>
      <c r="E130" s="3"/>
    </row>
    <row r="131" spans="1:5">
      <c r="A131" s="3"/>
      <c r="B131" s="3"/>
      <c r="C131" s="3"/>
      <c r="D131" s="3"/>
      <c r="E131" s="3"/>
    </row>
    <row r="132" spans="1:5">
      <c r="A132" s="3"/>
      <c r="B132" s="3"/>
      <c r="C132" s="3"/>
      <c r="D132" s="3"/>
      <c r="E132" s="3"/>
    </row>
    <row r="133" spans="1:5">
      <c r="A133" s="3"/>
      <c r="B133" s="3"/>
      <c r="C133" s="3"/>
      <c r="D133" s="3"/>
      <c r="E133" s="3"/>
    </row>
    <row r="134" spans="1:5">
      <c r="A134" s="3"/>
      <c r="B134" s="3"/>
      <c r="C134" s="3"/>
      <c r="D134" s="3"/>
      <c r="E134" s="3"/>
    </row>
    <row r="135" spans="1:5">
      <c r="A135" s="3"/>
      <c r="B135" s="3"/>
      <c r="C135" s="3"/>
      <c r="D135" s="3"/>
      <c r="E135" s="3"/>
    </row>
    <row r="136" spans="1:5">
      <c r="A136" s="3"/>
      <c r="B136" s="3"/>
      <c r="C136" s="3"/>
      <c r="D136" s="3"/>
      <c r="E136" s="3"/>
    </row>
    <row r="137" spans="1:5">
      <c r="A137" s="3"/>
      <c r="B137" s="3"/>
      <c r="C137" s="3"/>
      <c r="D137" s="3"/>
      <c r="E137" s="3"/>
    </row>
    <row r="138" spans="1:5">
      <c r="A138" s="3"/>
      <c r="B138" s="3"/>
      <c r="C138" s="3"/>
      <c r="D138" s="3"/>
      <c r="E138" s="3"/>
    </row>
    <row r="139" spans="1:5">
      <c r="A139" s="3"/>
      <c r="B139" s="3"/>
      <c r="C139" s="3"/>
      <c r="D139" s="3"/>
      <c r="E139" s="3"/>
    </row>
    <row r="140" spans="1:5">
      <c r="A140" s="3"/>
      <c r="B140" s="3"/>
      <c r="C140" s="3"/>
      <c r="D140" s="3"/>
      <c r="E140" s="3"/>
    </row>
    <row r="141" spans="1:5">
      <c r="A141" s="3"/>
      <c r="B141" s="3"/>
      <c r="C141" s="3"/>
      <c r="D141" s="3"/>
      <c r="E141" s="3"/>
    </row>
    <row r="142" spans="1:5">
      <c r="A142" s="3"/>
      <c r="B142" s="3"/>
      <c r="C142" s="3"/>
      <c r="D142" s="3"/>
      <c r="E142" s="3"/>
    </row>
    <row r="143" spans="1:5">
      <c r="A143" s="3"/>
      <c r="B143" s="3"/>
      <c r="C143" s="3"/>
      <c r="D143" s="3"/>
      <c r="E143" s="3"/>
    </row>
    <row r="144" spans="1:5">
      <c r="A144" s="3"/>
      <c r="B144" s="3"/>
      <c r="C144" s="3"/>
      <c r="D144" s="3"/>
      <c r="E144" s="3"/>
    </row>
    <row r="145" spans="1:4">
      <c r="A145" s="3"/>
      <c r="B145" s="3"/>
      <c r="C145" s="3"/>
      <c r="D145" s="3"/>
    </row>
  </sheetData>
  <mergeCells count="1">
    <mergeCell ref="A1:B2"/>
  </mergeCells>
  <pageMargins left="0.69930555555555596" right="0.69930555555555596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35">
    <comment s:ref="B11" rgbClr="829CFC"/>
    <comment s:ref="G32" rgbClr="829CFC"/>
    <comment s:ref="C39" rgbClr="829CFC"/>
    <comment s:ref="G39" rgbClr="829CFC"/>
    <comment s:ref="B48" rgbClr="829CFC"/>
  </commentList>
</comments>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Signatures that need to be read</vt:lpstr>
      <vt:lpstr>price and cost sheet</vt:lpstr>
      <vt:lpstr>体系折扣表</vt:lpstr>
      <vt:lpstr>'Signatures that need to be read'!Print_Area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sunmhw@cosl.com.cn</dc:creator>
  <cp:lastModifiedBy>ABDULRAHMAN MKAHT ALQHTANI</cp:lastModifiedBy>
  <cp:lastPrinted>2022-04-11T01:09:00Z</cp:lastPrinted>
  <dcterms:created xsi:type="dcterms:W3CDTF">2016-09-11T20:05:00Z</dcterms:created>
  <dcterms:modified xsi:type="dcterms:W3CDTF">2025-07-25T07:52:57Z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2052-11.8.2.12085</vt:lpwstr>
  </property>
  <property fmtid="{D5CDD505-2E9C-101B-9397-08002B2CF9AE}" pid="3" name="ICV">
    <vt:lpwstr>3534276EF4CE4583A5DAB95F468EEF57</vt:lpwstr>
  </property>
  <property fmtid="{D5CDD505-2E9C-101B-9397-08002B2CF9AE}" pid="4" name="KSOReadingLayout">
    <vt:bool>false</vt:bool>
  </property>
</Properties>
</file>
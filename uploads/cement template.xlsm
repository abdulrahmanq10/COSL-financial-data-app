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bdul\Desktop\Untitled Folder\"/>
    </mc:Choice>
  </mc:AlternateContent>
  <xr:revisionPtr revIDLastSave="0" documentId="13_ncr:1_{2A54691A-4C9B-4B90-8F66-C953728C1ABE}" xr6:coauthVersionLast="47" xr6:coauthVersionMax="47" xr10:uidLastSave="{00000000-0000-0000-0000-000000000000}"/>
  <bookViews>
    <workbookView xWindow="-108" yWindow="-108" windowWidth="23256" windowHeight="12456" tabRatio="869" activeTab="2" xr2:uid="{00000000-000D-0000-FFFF-FFFF00000000}"/>
  </bookViews>
  <sheets>
    <sheet name="price and cost sheet" sheetId="1" r:id="rId1"/>
    <sheet name="tx" sheetId="41" state="hidden" r:id="rId2"/>
    <sheet name="Signatures that need to be read" sheetId="18" r:id="rId3"/>
    <sheet name="电子版收费单 (2)" sheetId="29" state="hidden" r:id="rId4"/>
    <sheet name="电子版收费单 (3)" sheetId="30" state="hidden" r:id="rId5"/>
    <sheet name="电子版收费单 (4)" sheetId="31" state="hidden" r:id="rId6"/>
    <sheet name="电子版收费单 (5)" sheetId="32" state="hidden" r:id="rId7"/>
    <sheet name="电子版收费单 (6)" sheetId="33" state="hidden" r:id="rId8"/>
    <sheet name="电子版收费单" sheetId="34" state="hidden" r:id="rId9"/>
    <sheet name="曹妃甸 秦皇岛  结算单 " sheetId="26" state="hidden" r:id="rId10"/>
    <sheet name="曹妃甸开票申请" sheetId="28" state="hidden" r:id="rId11"/>
    <sheet name="秦皇岛开票申请" sheetId="35" state="hidden" r:id="rId12"/>
    <sheet name="秦皇岛  BZ  曹妃甸   年底预提" sheetId="23" state="hidden" r:id="rId13"/>
  </sheets>
  <definedNames>
    <definedName name="___DAN1" localSheetId="9">'price and cost sheet'!$D$2:$D$3</definedName>
    <definedName name="___DAN3" localSheetId="9">'price and cost sheet'!$D$19:$D$35</definedName>
    <definedName name="___DAN4" localSheetId="9">'price and cost sheet'!$D$50</definedName>
    <definedName name="___DAN5" localSheetId="9">'price and cost sheet'!$D$89:$D$145</definedName>
    <definedName name="___DAN7" localSheetId="9">'price and cost sheet'!$D$2:$D$35</definedName>
    <definedName name="___NO1" localSheetId="9">'price and cost sheet'!$B$2:$B$3</definedName>
    <definedName name="___NO2" localSheetId="9">'price and cost sheet'!$B$4:$B$5</definedName>
    <definedName name="___NO3" localSheetId="9">'price and cost sheet'!$B$19:$B$35</definedName>
    <definedName name="___NO4" localSheetId="9">'price and cost sheet'!$C$50:$C$96</definedName>
    <definedName name="___NO5" localSheetId="9">'price and cost sheet'!$C$50:$C$89</definedName>
    <definedName name="___NO6" localSheetId="9">'price and cost sheet'!$C$50:$C$215</definedName>
    <definedName name="_DAN1">'price and cost sheet'!$D$2:$D$3</definedName>
    <definedName name="_DAN3">'price and cost sheet'!$D$19:$D$35</definedName>
    <definedName name="_DAN4">'price and cost sheet'!$D$50</definedName>
    <definedName name="_DAN5">'price and cost sheet'!$D$89:$D$145</definedName>
    <definedName name="_DAN7">'price and cost sheet'!$D$2:$D$35</definedName>
    <definedName name="_xlnm._FilterDatabase" localSheetId="8" hidden="1">电子版收费单!$A$37:$K$103</definedName>
    <definedName name="_xlnm._FilterDatabase" localSheetId="3" hidden="1">'电子版收费单 (2)'!$A$37:$K$83</definedName>
    <definedName name="_xlnm._FilterDatabase" localSheetId="4" hidden="1">'电子版收费单 (3)'!$A$37:$K$83</definedName>
    <definedName name="_xlnm._FilterDatabase" localSheetId="5" hidden="1">'电子版收费单 (4)'!$A$37:$K$83</definedName>
    <definedName name="_xlnm._FilterDatabase" localSheetId="6" hidden="1">'电子版收费单 (5)'!$A$37:$K$83</definedName>
    <definedName name="_xlnm._FilterDatabase" localSheetId="7" hidden="1">'电子版收费单 (6)'!$A$37:$K$83</definedName>
    <definedName name="_NO1">'price and cost sheet'!$B$2:$B$3</definedName>
    <definedName name="_NO2">'price and cost sheet'!$B$4:$B$5</definedName>
    <definedName name="_NO3">'price and cost sheet'!$B$19:$B$35</definedName>
    <definedName name="_NO4">'price and cost sheet'!$C$50:$C$96</definedName>
    <definedName name="_NO5">'price and cost sheet'!$C$50:$C$89</definedName>
    <definedName name="_NO6">'price and cost sheet'!$C$50:$C$205</definedName>
    <definedName name="aa" localSheetId="9">'price and cost sheet'!$A$2:$E$215</definedName>
    <definedName name="aa">'price and cost sheet'!$A$2:$E$205</definedName>
    <definedName name="NO" localSheetId="9">'price and cost sheet'!$B$2:$B$35</definedName>
    <definedName name="NO">'price and cost sheet'!$B$2:$B$35</definedName>
    <definedName name="_xlnm.Print_Area" localSheetId="0">'price and cost sheet'!$A$2:$E$205</definedName>
    <definedName name="_xlnm.Print_Area" localSheetId="2">'Signatures that need to be read'!$A$1:$I$44</definedName>
    <definedName name="_xlnm.Print_Area" localSheetId="9">'曹妃甸 秦皇岛  结算单 '!$A$1:$K$27</definedName>
    <definedName name="_xlnm.Print_Area" localSheetId="10">曹妃甸开票申请!$A$1:$N$17</definedName>
    <definedName name="_xlnm.Print_Area" localSheetId="8">电子版收费单!$A$1:$K$103</definedName>
    <definedName name="_xlnm.Print_Area" localSheetId="3">'电子版收费单 (2)'!$A$1:$K$83</definedName>
    <definedName name="_xlnm.Print_Area" localSheetId="4">'电子版收费单 (3)'!$A$1:$K$83</definedName>
    <definedName name="_xlnm.Print_Area" localSheetId="5">'电子版收费单 (4)'!$A$1:$K$83</definedName>
    <definedName name="_xlnm.Print_Area" localSheetId="6">'电子版收费单 (5)'!$A$1:$K$83</definedName>
    <definedName name="_xlnm.Print_Area" localSheetId="7">'电子版收费单 (6)'!$A$1:$K$83</definedName>
    <definedName name="_xlnm.Print_Area" localSheetId="12">'秦皇岛  BZ  曹妃甸   年底预提'!$A$1:$J$25</definedName>
    <definedName name="_xlnm.Print_Area" localSheetId="11">秦皇岛开票申请!$A$1:$N$17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3" l="1"/>
  <c r="F4" i="23"/>
  <c r="H12" i="35"/>
  <c r="M11" i="35"/>
  <c r="L11" i="35"/>
  <c r="Y8" i="35"/>
  <c r="X8" i="35"/>
  <c r="H2" i="35"/>
  <c r="H12" i="28"/>
  <c r="J12" i="28" s="1"/>
  <c r="K12" i="28" s="1"/>
  <c r="M11" i="28"/>
  <c r="L11" i="28"/>
  <c r="Z8" i="28"/>
  <c r="N3" i="28"/>
  <c r="H2" i="28"/>
  <c r="X8" i="28" s="1"/>
  <c r="Y8" i="28" s="1"/>
  <c r="O13" i="26"/>
  <c r="C8" i="26"/>
  <c r="G6" i="26"/>
  <c r="D7" i="23" s="1"/>
  <c r="E6" i="26"/>
  <c r="B6" i="26"/>
  <c r="G121" i="34"/>
  <c r="G120" i="34"/>
  <c r="G116" i="34"/>
  <c r="P113" i="34"/>
  <c r="J121" i="34" s="1"/>
  <c r="H121" i="34" s="1"/>
  <c r="O113" i="34"/>
  <c r="J120" i="34" s="1"/>
  <c r="H120" i="34" s="1"/>
  <c r="N113" i="34"/>
  <c r="J119" i="34" s="1"/>
  <c r="H119" i="34" s="1"/>
  <c r="M113" i="34"/>
  <c r="J118" i="34" s="1"/>
  <c r="H118" i="34" s="1"/>
  <c r="L113" i="34"/>
  <c r="J117" i="34" s="1"/>
  <c r="H117" i="34" s="1"/>
  <c r="K113" i="34"/>
  <c r="R113" i="34" s="1"/>
  <c r="C113" i="34"/>
  <c r="B113" i="34"/>
  <c r="I109" i="34"/>
  <c r="F109" i="34"/>
  <c r="G117" i="34" s="1"/>
  <c r="E109" i="34"/>
  <c r="F116" i="34" s="1"/>
  <c r="C109" i="34"/>
  <c r="C121" i="34" s="1"/>
  <c r="B109" i="34"/>
  <c r="B120" i="34" s="1"/>
  <c r="J102" i="34"/>
  <c r="J8" i="26" s="1"/>
  <c r="F39" i="34"/>
  <c r="B39" i="34"/>
  <c r="J35" i="34"/>
  <c r="H8" i="26" s="1"/>
  <c r="L13" i="34"/>
  <c r="L12" i="34"/>
  <c r="L11" i="34"/>
  <c r="L10" i="34"/>
  <c r="L9" i="34"/>
  <c r="L8" i="34"/>
  <c r="J101" i="33"/>
  <c r="H101" i="33"/>
  <c r="G101" i="33"/>
  <c r="B101" i="33"/>
  <c r="G100" i="33"/>
  <c r="F100" i="33"/>
  <c r="G99" i="33"/>
  <c r="F99" i="33"/>
  <c r="G98" i="33"/>
  <c r="F98" i="33"/>
  <c r="G97" i="33"/>
  <c r="F97" i="33"/>
  <c r="F96" i="33"/>
  <c r="B96" i="33"/>
  <c r="P93" i="33"/>
  <c r="O93" i="33"/>
  <c r="J100" i="33" s="1"/>
  <c r="H100" i="33" s="1"/>
  <c r="N93" i="33"/>
  <c r="J99" i="33" s="1"/>
  <c r="H99" i="33" s="1"/>
  <c r="M93" i="33"/>
  <c r="J98" i="33" s="1"/>
  <c r="H98" i="33" s="1"/>
  <c r="L93" i="33"/>
  <c r="J97" i="33" s="1"/>
  <c r="H97" i="33" s="1"/>
  <c r="K93" i="33"/>
  <c r="D93" i="33"/>
  <c r="C93" i="33"/>
  <c r="B93" i="33"/>
  <c r="F89" i="33"/>
  <c r="G102" i="33" s="1"/>
  <c r="E89" i="33"/>
  <c r="F101" i="33" s="1"/>
  <c r="D89" i="33"/>
  <c r="D96" i="33" s="1"/>
  <c r="C89" i="33"/>
  <c r="C96" i="33" s="1"/>
  <c r="B89" i="33"/>
  <c r="B102" i="33" s="1"/>
  <c r="J82" i="33"/>
  <c r="I89" i="33" s="1"/>
  <c r="R81" i="33"/>
  <c r="K81" i="33"/>
  <c r="J81" i="33"/>
  <c r="H81" i="33"/>
  <c r="R80" i="33"/>
  <c r="K80" i="33"/>
  <c r="J80" i="33"/>
  <c r="H80" i="33"/>
  <c r="R79" i="33"/>
  <c r="K79" i="33"/>
  <c r="J79" i="33"/>
  <c r="H79" i="33"/>
  <c r="R78" i="33"/>
  <c r="K78" i="33"/>
  <c r="J78" i="33"/>
  <c r="H78" i="33"/>
  <c r="R77" i="33"/>
  <c r="K77" i="33"/>
  <c r="J77" i="33"/>
  <c r="H77" i="33"/>
  <c r="R76" i="33"/>
  <c r="K76" i="33"/>
  <c r="J76" i="33"/>
  <c r="H76" i="33"/>
  <c r="R75" i="33"/>
  <c r="K75" i="33"/>
  <c r="J75" i="33"/>
  <c r="H75" i="33"/>
  <c r="R74" i="33"/>
  <c r="K74" i="33"/>
  <c r="J74" i="33"/>
  <c r="H74" i="33"/>
  <c r="R73" i="33"/>
  <c r="K73" i="33"/>
  <c r="J73" i="33"/>
  <c r="H73" i="33"/>
  <c r="R72" i="33"/>
  <c r="K72" i="33"/>
  <c r="J72" i="33"/>
  <c r="H72" i="33"/>
  <c r="R71" i="33"/>
  <c r="K71" i="33"/>
  <c r="J71" i="33"/>
  <c r="H71" i="33"/>
  <c r="R70" i="33"/>
  <c r="K70" i="33"/>
  <c r="J70" i="33"/>
  <c r="H70" i="33"/>
  <c r="R69" i="33"/>
  <c r="K69" i="33"/>
  <c r="J69" i="33"/>
  <c r="H69" i="33"/>
  <c r="R68" i="33"/>
  <c r="K68" i="33"/>
  <c r="J68" i="33"/>
  <c r="H68" i="33"/>
  <c r="R67" i="33"/>
  <c r="K67" i="33"/>
  <c r="J67" i="33"/>
  <c r="H67" i="33"/>
  <c r="R66" i="33"/>
  <c r="K66" i="33"/>
  <c r="J66" i="33"/>
  <c r="H66" i="33"/>
  <c r="R65" i="33"/>
  <c r="K65" i="33"/>
  <c r="J65" i="33"/>
  <c r="H65" i="33"/>
  <c r="R64" i="33"/>
  <c r="K64" i="33"/>
  <c r="J64" i="33"/>
  <c r="H64" i="33"/>
  <c r="R63" i="33"/>
  <c r="K63" i="33"/>
  <c r="J63" i="33"/>
  <c r="H63" i="33"/>
  <c r="R62" i="33"/>
  <c r="K62" i="33"/>
  <c r="J62" i="33"/>
  <c r="H62" i="33"/>
  <c r="R61" i="33"/>
  <c r="K61" i="33"/>
  <c r="J61" i="33"/>
  <c r="H61" i="33"/>
  <c r="R60" i="33"/>
  <c r="K60" i="33"/>
  <c r="J60" i="33"/>
  <c r="H60" i="33"/>
  <c r="R59" i="33"/>
  <c r="K59" i="33"/>
  <c r="J59" i="33"/>
  <c r="H59" i="33"/>
  <c r="R58" i="33"/>
  <c r="K58" i="33"/>
  <c r="J58" i="33"/>
  <c r="H58" i="33"/>
  <c r="R57" i="33"/>
  <c r="K57" i="33"/>
  <c r="J57" i="33"/>
  <c r="H57" i="33"/>
  <c r="R56" i="33"/>
  <c r="K56" i="33"/>
  <c r="J56" i="33"/>
  <c r="H56" i="33"/>
  <c r="R55" i="33"/>
  <c r="K55" i="33"/>
  <c r="J55" i="33"/>
  <c r="H55" i="33"/>
  <c r="R54" i="33"/>
  <c r="K54" i="33"/>
  <c r="J54" i="33"/>
  <c r="H54" i="33"/>
  <c r="R53" i="33"/>
  <c r="K53" i="33"/>
  <c r="J53" i="33"/>
  <c r="H53" i="33"/>
  <c r="R52" i="33"/>
  <c r="K52" i="33"/>
  <c r="J52" i="33"/>
  <c r="H52" i="33"/>
  <c r="R51" i="33"/>
  <c r="K51" i="33"/>
  <c r="J51" i="33"/>
  <c r="H51" i="33"/>
  <c r="R50" i="33"/>
  <c r="K50" i="33"/>
  <c r="J50" i="33"/>
  <c r="H50" i="33"/>
  <c r="R49" i="33"/>
  <c r="K49" i="33"/>
  <c r="J49" i="33"/>
  <c r="H49" i="33"/>
  <c r="R48" i="33"/>
  <c r="K48" i="33"/>
  <c r="J48" i="33"/>
  <c r="H48" i="33"/>
  <c r="R47" i="33"/>
  <c r="K47" i="33"/>
  <c r="J47" i="33"/>
  <c r="H47" i="33"/>
  <c r="R46" i="33"/>
  <c r="K46" i="33"/>
  <c r="J46" i="33"/>
  <c r="H46" i="33"/>
  <c r="R45" i="33"/>
  <c r="K45" i="33"/>
  <c r="J45" i="33"/>
  <c r="H45" i="33"/>
  <c r="R44" i="33"/>
  <c r="K44" i="33"/>
  <c r="J44" i="33"/>
  <c r="H44" i="33"/>
  <c r="R43" i="33"/>
  <c r="K43" i="33"/>
  <c r="J43" i="33"/>
  <c r="H43" i="33"/>
  <c r="R42" i="33"/>
  <c r="K42" i="33"/>
  <c r="J42" i="33"/>
  <c r="Q93" i="33" s="1"/>
  <c r="J102" i="33" s="1"/>
  <c r="H42" i="33"/>
  <c r="R34" i="33"/>
  <c r="K34" i="33"/>
  <c r="J34" i="33"/>
  <c r="H34" i="33"/>
  <c r="R33" i="33"/>
  <c r="K33" i="33"/>
  <c r="J33" i="33"/>
  <c r="H33" i="33"/>
  <c r="R32" i="33"/>
  <c r="K32" i="33"/>
  <c r="J32" i="33"/>
  <c r="H32" i="33"/>
  <c r="R31" i="33"/>
  <c r="K31" i="33"/>
  <c r="J31" i="33"/>
  <c r="H31" i="33"/>
  <c r="R30" i="33"/>
  <c r="K30" i="33"/>
  <c r="J30" i="33"/>
  <c r="H30" i="33"/>
  <c r="R29" i="33"/>
  <c r="K29" i="33"/>
  <c r="J29" i="33"/>
  <c r="H29" i="33"/>
  <c r="R28" i="33"/>
  <c r="K28" i="33"/>
  <c r="J28" i="33"/>
  <c r="H28" i="33"/>
  <c r="R27" i="33"/>
  <c r="K27" i="33"/>
  <c r="J27" i="33"/>
  <c r="H27" i="33"/>
  <c r="R26" i="33"/>
  <c r="K26" i="33"/>
  <c r="J26" i="33"/>
  <c r="H26" i="33"/>
  <c r="R25" i="33"/>
  <c r="K25" i="33"/>
  <c r="J25" i="33"/>
  <c r="H25" i="33"/>
  <c r="R24" i="33"/>
  <c r="K24" i="33"/>
  <c r="J24" i="33"/>
  <c r="H24" i="33"/>
  <c r="R23" i="33"/>
  <c r="K23" i="33"/>
  <c r="J23" i="33"/>
  <c r="H23" i="33"/>
  <c r="R22" i="33"/>
  <c r="K22" i="33"/>
  <c r="J22" i="33"/>
  <c r="H22" i="33"/>
  <c r="R21" i="33"/>
  <c r="K21" i="33"/>
  <c r="J21" i="33"/>
  <c r="H21" i="33"/>
  <c r="R20" i="33"/>
  <c r="K20" i="33"/>
  <c r="J20" i="33"/>
  <c r="H20" i="33"/>
  <c r="R19" i="33"/>
  <c r="K19" i="33"/>
  <c r="J19" i="33"/>
  <c r="H19" i="33"/>
  <c r="R18" i="33"/>
  <c r="K18" i="33"/>
  <c r="J18" i="33"/>
  <c r="H18" i="33"/>
  <c r="R17" i="33"/>
  <c r="K17" i="33"/>
  <c r="J17" i="33"/>
  <c r="H17" i="33"/>
  <c r="R16" i="33"/>
  <c r="K16" i="33"/>
  <c r="J16" i="33"/>
  <c r="H16" i="33"/>
  <c r="R15" i="33"/>
  <c r="K15" i="33"/>
  <c r="J15" i="33"/>
  <c r="H15" i="33"/>
  <c r="R14" i="33"/>
  <c r="K14" i="33"/>
  <c r="J14" i="33"/>
  <c r="H14" i="33"/>
  <c r="R13" i="33"/>
  <c r="K13" i="33"/>
  <c r="J13" i="33"/>
  <c r="H13" i="33"/>
  <c r="R12" i="33"/>
  <c r="K12" i="33"/>
  <c r="J12" i="33"/>
  <c r="H12" i="33"/>
  <c r="R11" i="33"/>
  <c r="K11" i="33"/>
  <c r="J11" i="33"/>
  <c r="H11" i="33"/>
  <c r="R10" i="33"/>
  <c r="K10" i="33"/>
  <c r="J10" i="33"/>
  <c r="H10" i="33"/>
  <c r="R9" i="33"/>
  <c r="K9" i="33"/>
  <c r="J9" i="33"/>
  <c r="H9" i="33"/>
  <c r="R8" i="33"/>
  <c r="K8" i="33"/>
  <c r="J8" i="33"/>
  <c r="H8" i="33"/>
  <c r="R7" i="33"/>
  <c r="K7" i="33"/>
  <c r="J7" i="33"/>
  <c r="R93" i="33" s="1"/>
  <c r="H7" i="33"/>
  <c r="F101" i="32"/>
  <c r="B101" i="32"/>
  <c r="F100" i="32"/>
  <c r="D100" i="32"/>
  <c r="D99" i="32"/>
  <c r="C99" i="32"/>
  <c r="C98" i="32"/>
  <c r="B98" i="32"/>
  <c r="B97" i="32"/>
  <c r="J96" i="32"/>
  <c r="H96" i="32" s="1"/>
  <c r="F96" i="32"/>
  <c r="R93" i="32"/>
  <c r="Q93" i="32"/>
  <c r="J93" i="32" s="1"/>
  <c r="P93" i="32"/>
  <c r="J101" i="32" s="1"/>
  <c r="H101" i="32" s="1"/>
  <c r="O93" i="32"/>
  <c r="J100" i="32" s="1"/>
  <c r="H100" i="32" s="1"/>
  <c r="N93" i="32"/>
  <c r="J99" i="32" s="1"/>
  <c r="H99" i="32" s="1"/>
  <c r="M93" i="32"/>
  <c r="J98" i="32" s="1"/>
  <c r="H98" i="32" s="1"/>
  <c r="L93" i="32"/>
  <c r="J97" i="32" s="1"/>
  <c r="H97" i="32" s="1"/>
  <c r="K93" i="32"/>
  <c r="I93" i="32"/>
  <c r="H93" i="32" s="1"/>
  <c r="D93" i="32"/>
  <c r="C93" i="32"/>
  <c r="B93" i="32"/>
  <c r="F89" i="32"/>
  <c r="G102" i="32" s="1"/>
  <c r="E89" i="32"/>
  <c r="F102" i="32" s="1"/>
  <c r="D89" i="32"/>
  <c r="D101" i="32" s="1"/>
  <c r="C89" i="32"/>
  <c r="C100" i="32" s="1"/>
  <c r="B89" i="32"/>
  <c r="B99" i="32" s="1"/>
  <c r="R81" i="32"/>
  <c r="K81" i="32"/>
  <c r="J81" i="32"/>
  <c r="H81" i="32"/>
  <c r="R80" i="32"/>
  <c r="K80" i="32"/>
  <c r="J80" i="32"/>
  <c r="H80" i="32"/>
  <c r="R79" i="32"/>
  <c r="K79" i="32"/>
  <c r="J79" i="32"/>
  <c r="H79" i="32"/>
  <c r="R78" i="32"/>
  <c r="K78" i="32"/>
  <c r="J78" i="32"/>
  <c r="H78" i="32"/>
  <c r="R77" i="32"/>
  <c r="K77" i="32"/>
  <c r="J77" i="32"/>
  <c r="H77" i="32"/>
  <c r="R76" i="32"/>
  <c r="K76" i="32"/>
  <c r="J76" i="32"/>
  <c r="H76" i="32"/>
  <c r="R75" i="32"/>
  <c r="K75" i="32"/>
  <c r="J75" i="32"/>
  <c r="H75" i="32"/>
  <c r="R74" i="32"/>
  <c r="K74" i="32"/>
  <c r="J74" i="32"/>
  <c r="H74" i="32"/>
  <c r="R73" i="32"/>
  <c r="K73" i="32"/>
  <c r="J73" i="32"/>
  <c r="H73" i="32"/>
  <c r="R72" i="32"/>
  <c r="K72" i="32"/>
  <c r="J72" i="32"/>
  <c r="H72" i="32"/>
  <c r="R71" i="32"/>
  <c r="K71" i="32"/>
  <c r="J71" i="32"/>
  <c r="H71" i="32"/>
  <c r="R70" i="32"/>
  <c r="K70" i="32"/>
  <c r="J70" i="32"/>
  <c r="H70" i="32"/>
  <c r="R69" i="32"/>
  <c r="K69" i="32"/>
  <c r="J69" i="32"/>
  <c r="H69" i="32"/>
  <c r="R68" i="32"/>
  <c r="K68" i="32"/>
  <c r="J68" i="32"/>
  <c r="H68" i="32"/>
  <c r="R67" i="32"/>
  <c r="K67" i="32"/>
  <c r="J67" i="32"/>
  <c r="H67" i="32"/>
  <c r="R66" i="32"/>
  <c r="K66" i="32"/>
  <c r="J66" i="32"/>
  <c r="H66" i="32"/>
  <c r="R65" i="32"/>
  <c r="K65" i="32"/>
  <c r="J65" i="32"/>
  <c r="H65" i="32"/>
  <c r="R64" i="32"/>
  <c r="K64" i="32"/>
  <c r="J64" i="32"/>
  <c r="H64" i="32"/>
  <c r="R63" i="32"/>
  <c r="K63" i="32"/>
  <c r="J63" i="32"/>
  <c r="H63" i="32"/>
  <c r="R62" i="32"/>
  <c r="K62" i="32"/>
  <c r="J62" i="32"/>
  <c r="H62" i="32"/>
  <c r="R61" i="32"/>
  <c r="K61" i="32"/>
  <c r="J61" i="32"/>
  <c r="H61" i="32"/>
  <c r="R60" i="32"/>
  <c r="K60" i="32"/>
  <c r="J60" i="32"/>
  <c r="H60" i="32"/>
  <c r="R59" i="32"/>
  <c r="K59" i="32"/>
  <c r="J59" i="32"/>
  <c r="H59" i="32"/>
  <c r="R58" i="32"/>
  <c r="K58" i="32"/>
  <c r="J58" i="32"/>
  <c r="H58" i="32"/>
  <c r="R57" i="32"/>
  <c r="K57" i="32"/>
  <c r="J57" i="32"/>
  <c r="H57" i="32"/>
  <c r="R56" i="32"/>
  <c r="K56" i="32"/>
  <c r="J56" i="32"/>
  <c r="H56" i="32"/>
  <c r="R55" i="32"/>
  <c r="K55" i="32"/>
  <c r="J55" i="32"/>
  <c r="H55" i="32"/>
  <c r="R54" i="32"/>
  <c r="K54" i="32"/>
  <c r="J54" i="32"/>
  <c r="H54" i="32"/>
  <c r="R53" i="32"/>
  <c r="K53" i="32"/>
  <c r="J53" i="32"/>
  <c r="H53" i="32"/>
  <c r="R52" i="32"/>
  <c r="K52" i="32"/>
  <c r="J52" i="32"/>
  <c r="H52" i="32"/>
  <c r="R51" i="32"/>
  <c r="K51" i="32"/>
  <c r="J51" i="32"/>
  <c r="H51" i="32"/>
  <c r="R50" i="32"/>
  <c r="K50" i="32"/>
  <c r="J50" i="32"/>
  <c r="H50" i="32"/>
  <c r="R49" i="32"/>
  <c r="K49" i="32"/>
  <c r="J49" i="32"/>
  <c r="H49" i="32"/>
  <c r="R48" i="32"/>
  <c r="K48" i="32"/>
  <c r="J48" i="32"/>
  <c r="H48" i="32"/>
  <c r="R47" i="32"/>
  <c r="K47" i="32"/>
  <c r="J47" i="32"/>
  <c r="H47" i="32"/>
  <c r="R46" i="32"/>
  <c r="K46" i="32"/>
  <c r="J46" i="32"/>
  <c r="H46" i="32"/>
  <c r="R45" i="32"/>
  <c r="K45" i="32"/>
  <c r="J45" i="32"/>
  <c r="H45" i="32"/>
  <c r="R44" i="32"/>
  <c r="K44" i="32"/>
  <c r="J44" i="32"/>
  <c r="H44" i="32"/>
  <c r="R43" i="32"/>
  <c r="K43" i="32"/>
  <c r="J43" i="32"/>
  <c r="H43" i="32"/>
  <c r="R42" i="32"/>
  <c r="K42" i="32"/>
  <c r="J42" i="32"/>
  <c r="J82" i="32" s="1"/>
  <c r="I89" i="32" s="1"/>
  <c r="H42" i="32"/>
  <c r="J35" i="32"/>
  <c r="R34" i="32"/>
  <c r="K34" i="32"/>
  <c r="J34" i="32"/>
  <c r="H34" i="32"/>
  <c r="R33" i="32"/>
  <c r="K33" i="32"/>
  <c r="J33" i="32"/>
  <c r="H33" i="32"/>
  <c r="R32" i="32"/>
  <c r="K32" i="32"/>
  <c r="J32" i="32"/>
  <c r="H32" i="32"/>
  <c r="R31" i="32"/>
  <c r="K31" i="32"/>
  <c r="J31" i="32"/>
  <c r="H31" i="32"/>
  <c r="R30" i="32"/>
  <c r="K30" i="32"/>
  <c r="J30" i="32"/>
  <c r="H30" i="32"/>
  <c r="R29" i="32"/>
  <c r="K29" i="32"/>
  <c r="J29" i="32"/>
  <c r="H29" i="32"/>
  <c r="R28" i="32"/>
  <c r="K28" i="32"/>
  <c r="J28" i="32"/>
  <c r="H28" i="32"/>
  <c r="R27" i="32"/>
  <c r="K27" i="32"/>
  <c r="J27" i="32"/>
  <c r="H27" i="32"/>
  <c r="R26" i="32"/>
  <c r="K26" i="32"/>
  <c r="J26" i="32"/>
  <c r="H26" i="32"/>
  <c r="R25" i="32"/>
  <c r="K25" i="32"/>
  <c r="J25" i="32"/>
  <c r="H25" i="32"/>
  <c r="R24" i="32"/>
  <c r="K24" i="32"/>
  <c r="J24" i="32"/>
  <c r="H24" i="32"/>
  <c r="R23" i="32"/>
  <c r="K23" i="32"/>
  <c r="J23" i="32"/>
  <c r="H23" i="32"/>
  <c r="R22" i="32"/>
  <c r="K22" i="32"/>
  <c r="J22" i="32"/>
  <c r="H22" i="32"/>
  <c r="R21" i="32"/>
  <c r="K21" i="32"/>
  <c r="J21" i="32"/>
  <c r="H21" i="32"/>
  <c r="R20" i="32"/>
  <c r="K20" i="32"/>
  <c r="J20" i="32"/>
  <c r="H20" i="32"/>
  <c r="R19" i="32"/>
  <c r="K19" i="32"/>
  <c r="J19" i="32"/>
  <c r="H19" i="32"/>
  <c r="R18" i="32"/>
  <c r="K18" i="32"/>
  <c r="J18" i="32"/>
  <c r="H18" i="32"/>
  <c r="R17" i="32"/>
  <c r="K17" i="32"/>
  <c r="J17" i="32"/>
  <c r="H17" i="32"/>
  <c r="R16" i="32"/>
  <c r="K16" i="32"/>
  <c r="J16" i="32"/>
  <c r="H16" i="32"/>
  <c r="R15" i="32"/>
  <c r="K15" i="32"/>
  <c r="J15" i="32"/>
  <c r="H15" i="32"/>
  <c r="R14" i="32"/>
  <c r="K14" i="32"/>
  <c r="J14" i="32"/>
  <c r="H14" i="32"/>
  <c r="R13" i="32"/>
  <c r="K13" i="32"/>
  <c r="J13" i="32"/>
  <c r="H13" i="32"/>
  <c r="R12" i="32"/>
  <c r="K12" i="32"/>
  <c r="J12" i="32"/>
  <c r="H12" i="32"/>
  <c r="R11" i="32"/>
  <c r="K11" i="32"/>
  <c r="J11" i="32"/>
  <c r="H11" i="32"/>
  <c r="R10" i="32"/>
  <c r="K10" i="32"/>
  <c r="J10" i="32"/>
  <c r="H10" i="32"/>
  <c r="R9" i="32"/>
  <c r="K9" i="32"/>
  <c r="J9" i="32"/>
  <c r="H9" i="32"/>
  <c r="R8" i="32"/>
  <c r="K8" i="32"/>
  <c r="J8" i="32"/>
  <c r="H8" i="32"/>
  <c r="R7" i="32"/>
  <c r="K7" i="32"/>
  <c r="J7" i="32"/>
  <c r="H7" i="32"/>
  <c r="J101" i="31"/>
  <c r="H101" i="31" s="1"/>
  <c r="F101" i="31"/>
  <c r="J100" i="31"/>
  <c r="H100" i="31"/>
  <c r="D100" i="31"/>
  <c r="G99" i="31"/>
  <c r="C99" i="31"/>
  <c r="G98" i="31"/>
  <c r="F98" i="31"/>
  <c r="F97" i="31"/>
  <c r="D97" i="31"/>
  <c r="J96" i="31"/>
  <c r="H96" i="31" s="1"/>
  <c r="D96" i="31"/>
  <c r="C96" i="31"/>
  <c r="P93" i="31"/>
  <c r="O93" i="31"/>
  <c r="N93" i="31"/>
  <c r="J99" i="31" s="1"/>
  <c r="H99" i="31" s="1"/>
  <c r="M93" i="31"/>
  <c r="J98" i="31" s="1"/>
  <c r="H98" i="31" s="1"/>
  <c r="L93" i="31"/>
  <c r="J97" i="31" s="1"/>
  <c r="H97" i="31" s="1"/>
  <c r="K93" i="31"/>
  <c r="D93" i="31"/>
  <c r="C93" i="31"/>
  <c r="B93" i="31"/>
  <c r="F89" i="31"/>
  <c r="G100" i="31" s="1"/>
  <c r="E89" i="31"/>
  <c r="F99" i="31" s="1"/>
  <c r="D89" i="31"/>
  <c r="D98" i="31" s="1"/>
  <c r="C89" i="31"/>
  <c r="C97" i="31" s="1"/>
  <c r="B89" i="31"/>
  <c r="B96" i="31" s="1"/>
  <c r="R81" i="31"/>
  <c r="K81" i="31"/>
  <c r="J81" i="31"/>
  <c r="H81" i="31"/>
  <c r="R80" i="31"/>
  <c r="K80" i="31"/>
  <c r="J80" i="31"/>
  <c r="H80" i="31"/>
  <c r="R79" i="31"/>
  <c r="K79" i="31"/>
  <c r="J79" i="31"/>
  <c r="H79" i="31"/>
  <c r="R78" i="31"/>
  <c r="K78" i="31"/>
  <c r="J78" i="31"/>
  <c r="H78" i="31"/>
  <c r="R77" i="31"/>
  <c r="K77" i="31"/>
  <c r="J77" i="31"/>
  <c r="H77" i="31"/>
  <c r="R76" i="31"/>
  <c r="K76" i="31"/>
  <c r="J76" i="31"/>
  <c r="H76" i="31"/>
  <c r="R75" i="31"/>
  <c r="K75" i="31"/>
  <c r="J75" i="31"/>
  <c r="H75" i="31"/>
  <c r="R74" i="31"/>
  <c r="K74" i="31"/>
  <c r="J74" i="31"/>
  <c r="H74" i="31"/>
  <c r="R73" i="31"/>
  <c r="K73" i="31"/>
  <c r="J73" i="31"/>
  <c r="H73" i="31"/>
  <c r="R72" i="31"/>
  <c r="K72" i="31"/>
  <c r="J72" i="31"/>
  <c r="H72" i="31"/>
  <c r="R71" i="31"/>
  <c r="K71" i="31"/>
  <c r="J71" i="31"/>
  <c r="H71" i="31"/>
  <c r="R70" i="31"/>
  <c r="K70" i="31"/>
  <c r="J70" i="31"/>
  <c r="H70" i="31"/>
  <c r="R69" i="31"/>
  <c r="K69" i="31"/>
  <c r="J69" i="31"/>
  <c r="H69" i="31"/>
  <c r="R68" i="31"/>
  <c r="K68" i="31"/>
  <c r="J68" i="31"/>
  <c r="H68" i="31"/>
  <c r="R67" i="31"/>
  <c r="K67" i="31"/>
  <c r="J67" i="31"/>
  <c r="H67" i="31"/>
  <c r="R66" i="31"/>
  <c r="K66" i="31"/>
  <c r="J66" i="31"/>
  <c r="H66" i="31"/>
  <c r="R65" i="31"/>
  <c r="K65" i="31"/>
  <c r="J65" i="31"/>
  <c r="H65" i="31"/>
  <c r="R64" i="31"/>
  <c r="K64" i="31"/>
  <c r="J64" i="31"/>
  <c r="H64" i="31"/>
  <c r="R63" i="31"/>
  <c r="K63" i="31"/>
  <c r="J63" i="31"/>
  <c r="H63" i="31"/>
  <c r="R62" i="31"/>
  <c r="K62" i="31"/>
  <c r="J62" i="31"/>
  <c r="H62" i="31"/>
  <c r="R61" i="31"/>
  <c r="K61" i="31"/>
  <c r="J61" i="31"/>
  <c r="H61" i="31"/>
  <c r="R60" i="31"/>
  <c r="K60" i="31"/>
  <c r="J60" i="31"/>
  <c r="H60" i="31"/>
  <c r="R59" i="31"/>
  <c r="K59" i="31"/>
  <c r="J59" i="31"/>
  <c r="H59" i="31"/>
  <c r="R58" i="31"/>
  <c r="K58" i="31"/>
  <c r="J58" i="31"/>
  <c r="H58" i="31"/>
  <c r="R57" i="31"/>
  <c r="K57" i="31"/>
  <c r="J57" i="31"/>
  <c r="H57" i="31"/>
  <c r="R56" i="31"/>
  <c r="K56" i="31"/>
  <c r="J56" i="31"/>
  <c r="H56" i="31"/>
  <c r="R55" i="31"/>
  <c r="K55" i="31"/>
  <c r="J55" i="31"/>
  <c r="H55" i="31"/>
  <c r="R54" i="31"/>
  <c r="K54" i="31"/>
  <c r="J54" i="31"/>
  <c r="H54" i="31"/>
  <c r="R53" i="31"/>
  <c r="K53" i="31"/>
  <c r="J53" i="31"/>
  <c r="H53" i="31"/>
  <c r="R52" i="31"/>
  <c r="K52" i="31"/>
  <c r="J52" i="31"/>
  <c r="H52" i="31"/>
  <c r="R51" i="31"/>
  <c r="K51" i="31"/>
  <c r="J51" i="31"/>
  <c r="H51" i="31"/>
  <c r="R50" i="31"/>
  <c r="K50" i="31"/>
  <c r="J50" i="31"/>
  <c r="H50" i="31"/>
  <c r="R49" i="31"/>
  <c r="K49" i="31"/>
  <c r="J49" i="31"/>
  <c r="H49" i="31"/>
  <c r="R48" i="31"/>
  <c r="K48" i="31"/>
  <c r="J48" i="31"/>
  <c r="H48" i="31"/>
  <c r="R47" i="31"/>
  <c r="K47" i="31"/>
  <c r="J47" i="31"/>
  <c r="H47" i="31"/>
  <c r="R46" i="31"/>
  <c r="K46" i="31"/>
  <c r="J46" i="31"/>
  <c r="H46" i="31"/>
  <c r="R45" i="31"/>
  <c r="K45" i="31"/>
  <c r="J45" i="31"/>
  <c r="H45" i="31"/>
  <c r="R44" i="31"/>
  <c r="K44" i="31"/>
  <c r="J44" i="31"/>
  <c r="H44" i="31"/>
  <c r="R43" i="31"/>
  <c r="K43" i="31"/>
  <c r="J43" i="31"/>
  <c r="H43" i="31"/>
  <c r="R42" i="31"/>
  <c r="K42" i="31"/>
  <c r="J42" i="31"/>
  <c r="J82" i="31" s="1"/>
  <c r="I89" i="31" s="1"/>
  <c r="H42" i="31"/>
  <c r="R34" i="31"/>
  <c r="K34" i="31"/>
  <c r="J34" i="31"/>
  <c r="H34" i="31"/>
  <c r="R33" i="31"/>
  <c r="K33" i="31"/>
  <c r="J33" i="31"/>
  <c r="H33" i="31"/>
  <c r="R32" i="31"/>
  <c r="K32" i="31"/>
  <c r="J32" i="31"/>
  <c r="H32" i="31"/>
  <c r="R31" i="31"/>
  <c r="K31" i="31"/>
  <c r="J31" i="31"/>
  <c r="H31" i="31"/>
  <c r="R30" i="31"/>
  <c r="K30" i="31"/>
  <c r="J30" i="31"/>
  <c r="H30" i="31"/>
  <c r="R29" i="31"/>
  <c r="K29" i="31"/>
  <c r="J29" i="31"/>
  <c r="H29" i="31"/>
  <c r="R28" i="31"/>
  <c r="K28" i="31"/>
  <c r="J28" i="31"/>
  <c r="H28" i="31"/>
  <c r="R27" i="31"/>
  <c r="K27" i="31"/>
  <c r="J27" i="31"/>
  <c r="H27" i="31"/>
  <c r="R26" i="31"/>
  <c r="K26" i="31"/>
  <c r="J26" i="31"/>
  <c r="H26" i="31"/>
  <c r="R25" i="31"/>
  <c r="K25" i="31"/>
  <c r="J25" i="31"/>
  <c r="H25" i="31"/>
  <c r="R24" i="31"/>
  <c r="K24" i="31"/>
  <c r="J24" i="31"/>
  <c r="H24" i="31"/>
  <c r="R23" i="31"/>
  <c r="K23" i="31"/>
  <c r="J23" i="31"/>
  <c r="H23" i="31"/>
  <c r="R22" i="31"/>
  <c r="K22" i="31"/>
  <c r="J22" i="31"/>
  <c r="H22" i="31"/>
  <c r="R21" i="31"/>
  <c r="K21" i="31"/>
  <c r="J21" i="31"/>
  <c r="H21" i="31"/>
  <c r="R20" i="31"/>
  <c r="K20" i="31"/>
  <c r="J20" i="31"/>
  <c r="H20" i="31"/>
  <c r="R19" i="31"/>
  <c r="K19" i="31"/>
  <c r="J19" i="31"/>
  <c r="H19" i="31"/>
  <c r="R18" i="31"/>
  <c r="K18" i="31"/>
  <c r="J18" i="31"/>
  <c r="H18" i="31"/>
  <c r="R17" i="31"/>
  <c r="K17" i="31"/>
  <c r="J17" i="31"/>
  <c r="H17" i="31"/>
  <c r="R16" i="31"/>
  <c r="K16" i="31"/>
  <c r="J16" i="31"/>
  <c r="H16" i="31"/>
  <c r="R15" i="31"/>
  <c r="K15" i="31"/>
  <c r="J15" i="31"/>
  <c r="H15" i="31"/>
  <c r="R14" i="31"/>
  <c r="K14" i="31"/>
  <c r="J14" i="31"/>
  <c r="H14" i="31"/>
  <c r="R13" i="31"/>
  <c r="K13" i="31"/>
  <c r="J13" i="31"/>
  <c r="H13" i="31"/>
  <c r="R12" i="31"/>
  <c r="K12" i="31"/>
  <c r="J12" i="31"/>
  <c r="H12" i="31"/>
  <c r="R11" i="31"/>
  <c r="K11" i="31"/>
  <c r="J11" i="31"/>
  <c r="H11" i="31"/>
  <c r="R10" i="31"/>
  <c r="K10" i="31"/>
  <c r="J10" i="31"/>
  <c r="H10" i="31"/>
  <c r="R9" i="31"/>
  <c r="K9" i="31"/>
  <c r="J9" i="31"/>
  <c r="H9" i="31"/>
  <c r="R8" i="31"/>
  <c r="K8" i="31"/>
  <c r="J8" i="31"/>
  <c r="H8" i="31"/>
  <c r="R7" i="31"/>
  <c r="K7" i="31"/>
  <c r="J7" i="31"/>
  <c r="R93" i="31" s="1"/>
  <c r="H7" i="31"/>
  <c r="C101" i="30"/>
  <c r="C100" i="30"/>
  <c r="B100" i="30"/>
  <c r="G99" i="30"/>
  <c r="B99" i="30"/>
  <c r="J98" i="30"/>
  <c r="H98" i="30" s="1"/>
  <c r="J97" i="30"/>
  <c r="H97" i="30"/>
  <c r="G96" i="30"/>
  <c r="C96" i="30"/>
  <c r="P93" i="30"/>
  <c r="J101" i="30" s="1"/>
  <c r="H101" i="30" s="1"/>
  <c r="O93" i="30"/>
  <c r="J100" i="30" s="1"/>
  <c r="H100" i="30" s="1"/>
  <c r="N93" i="30"/>
  <c r="J99" i="30" s="1"/>
  <c r="H99" i="30" s="1"/>
  <c r="M93" i="30"/>
  <c r="L93" i="30"/>
  <c r="K93" i="30"/>
  <c r="D93" i="30"/>
  <c r="C93" i="30"/>
  <c r="B93" i="30"/>
  <c r="F89" i="30"/>
  <c r="G97" i="30" s="1"/>
  <c r="E89" i="30"/>
  <c r="F96" i="30" s="1"/>
  <c r="D89" i="30"/>
  <c r="D96" i="30" s="1"/>
  <c r="C89" i="30"/>
  <c r="C102" i="30" s="1"/>
  <c r="B89" i="30"/>
  <c r="B101" i="30" s="1"/>
  <c r="R81" i="30"/>
  <c r="K81" i="30"/>
  <c r="J81" i="30"/>
  <c r="H81" i="30"/>
  <c r="R80" i="30"/>
  <c r="K80" i="30"/>
  <c r="J80" i="30"/>
  <c r="H80" i="30"/>
  <c r="R79" i="30"/>
  <c r="K79" i="30"/>
  <c r="J79" i="30"/>
  <c r="H79" i="30"/>
  <c r="R78" i="30"/>
  <c r="K78" i="30"/>
  <c r="J78" i="30"/>
  <c r="H78" i="30"/>
  <c r="R77" i="30"/>
  <c r="K77" i="30"/>
  <c r="J77" i="30"/>
  <c r="H77" i="30"/>
  <c r="R76" i="30"/>
  <c r="K76" i="30"/>
  <c r="J76" i="30"/>
  <c r="H76" i="30"/>
  <c r="R75" i="30"/>
  <c r="K75" i="30"/>
  <c r="J75" i="30"/>
  <c r="H75" i="30"/>
  <c r="R74" i="30"/>
  <c r="K74" i="30"/>
  <c r="J74" i="30"/>
  <c r="H74" i="30"/>
  <c r="R73" i="30"/>
  <c r="K73" i="30"/>
  <c r="J73" i="30"/>
  <c r="H73" i="30"/>
  <c r="R72" i="30"/>
  <c r="K72" i="30"/>
  <c r="J72" i="30"/>
  <c r="H72" i="30"/>
  <c r="R71" i="30"/>
  <c r="K71" i="30"/>
  <c r="J71" i="30"/>
  <c r="H71" i="30"/>
  <c r="R70" i="30"/>
  <c r="K70" i="30"/>
  <c r="J70" i="30"/>
  <c r="H70" i="30"/>
  <c r="R69" i="30"/>
  <c r="K69" i="30"/>
  <c r="J69" i="30"/>
  <c r="H69" i="30"/>
  <c r="R68" i="30"/>
  <c r="K68" i="30"/>
  <c r="J68" i="30"/>
  <c r="H68" i="30"/>
  <c r="R67" i="30"/>
  <c r="K67" i="30"/>
  <c r="J67" i="30"/>
  <c r="H67" i="30"/>
  <c r="R66" i="30"/>
  <c r="K66" i="30"/>
  <c r="J66" i="30"/>
  <c r="H66" i="30"/>
  <c r="R65" i="30"/>
  <c r="K65" i="30"/>
  <c r="J65" i="30"/>
  <c r="H65" i="30"/>
  <c r="R64" i="30"/>
  <c r="K64" i="30"/>
  <c r="J64" i="30"/>
  <c r="H64" i="30"/>
  <c r="R63" i="30"/>
  <c r="K63" i="30"/>
  <c r="J63" i="30"/>
  <c r="H63" i="30"/>
  <c r="R62" i="30"/>
  <c r="K62" i="30"/>
  <c r="J62" i="30"/>
  <c r="H62" i="30"/>
  <c r="R61" i="30"/>
  <c r="K61" i="30"/>
  <c r="J61" i="30"/>
  <c r="H61" i="30"/>
  <c r="R60" i="30"/>
  <c r="K60" i="30"/>
  <c r="J60" i="30"/>
  <c r="H60" i="30"/>
  <c r="R59" i="30"/>
  <c r="K59" i="30"/>
  <c r="J59" i="30"/>
  <c r="H59" i="30"/>
  <c r="R58" i="30"/>
  <c r="K58" i="30"/>
  <c r="J58" i="30"/>
  <c r="H58" i="30"/>
  <c r="R57" i="30"/>
  <c r="K57" i="30"/>
  <c r="J57" i="30"/>
  <c r="H57" i="30"/>
  <c r="R56" i="30"/>
  <c r="K56" i="30"/>
  <c r="J56" i="30"/>
  <c r="H56" i="30"/>
  <c r="R55" i="30"/>
  <c r="K55" i="30"/>
  <c r="J55" i="30"/>
  <c r="H55" i="30"/>
  <c r="R54" i="30"/>
  <c r="K54" i="30"/>
  <c r="J54" i="30"/>
  <c r="H54" i="30"/>
  <c r="R53" i="30"/>
  <c r="K53" i="30"/>
  <c r="J53" i="30"/>
  <c r="H53" i="30"/>
  <c r="R52" i="30"/>
  <c r="K52" i="30"/>
  <c r="J52" i="30"/>
  <c r="H52" i="30"/>
  <c r="R51" i="30"/>
  <c r="K51" i="30"/>
  <c r="J51" i="30"/>
  <c r="H51" i="30"/>
  <c r="R50" i="30"/>
  <c r="K50" i="30"/>
  <c r="J50" i="30"/>
  <c r="H50" i="30"/>
  <c r="R49" i="30"/>
  <c r="K49" i="30"/>
  <c r="J49" i="30"/>
  <c r="H49" i="30"/>
  <c r="R48" i="30"/>
  <c r="K48" i="30"/>
  <c r="J48" i="30"/>
  <c r="H48" i="30"/>
  <c r="R47" i="30"/>
  <c r="K47" i="30"/>
  <c r="J47" i="30"/>
  <c r="H47" i="30"/>
  <c r="R46" i="30"/>
  <c r="K46" i="30"/>
  <c r="J46" i="30"/>
  <c r="H46" i="30"/>
  <c r="R45" i="30"/>
  <c r="K45" i="30"/>
  <c r="J45" i="30"/>
  <c r="H45" i="30"/>
  <c r="R44" i="30"/>
  <c r="K44" i="30"/>
  <c r="J44" i="30"/>
  <c r="H44" i="30"/>
  <c r="R43" i="30"/>
  <c r="K43" i="30"/>
  <c r="J43" i="30"/>
  <c r="H43" i="30"/>
  <c r="R42" i="30"/>
  <c r="K42" i="30"/>
  <c r="J42" i="30"/>
  <c r="J82" i="30" s="1"/>
  <c r="I89" i="30" s="1"/>
  <c r="H42" i="30"/>
  <c r="R34" i="30"/>
  <c r="K34" i="30"/>
  <c r="J34" i="30"/>
  <c r="H34" i="30"/>
  <c r="R33" i="30"/>
  <c r="K33" i="30"/>
  <c r="J33" i="30"/>
  <c r="H33" i="30"/>
  <c r="R32" i="30"/>
  <c r="K32" i="30"/>
  <c r="J32" i="30"/>
  <c r="H32" i="30"/>
  <c r="R31" i="30"/>
  <c r="K31" i="30"/>
  <c r="J31" i="30"/>
  <c r="H31" i="30"/>
  <c r="R30" i="30"/>
  <c r="K30" i="30"/>
  <c r="J30" i="30"/>
  <c r="H30" i="30"/>
  <c r="R29" i="30"/>
  <c r="K29" i="30"/>
  <c r="J29" i="30"/>
  <c r="H29" i="30"/>
  <c r="R28" i="30"/>
  <c r="K28" i="30"/>
  <c r="J28" i="30"/>
  <c r="H28" i="30"/>
  <c r="R27" i="30"/>
  <c r="K27" i="30"/>
  <c r="J27" i="30"/>
  <c r="H27" i="30"/>
  <c r="R26" i="30"/>
  <c r="K26" i="30"/>
  <c r="J26" i="30"/>
  <c r="H26" i="30"/>
  <c r="R25" i="30"/>
  <c r="K25" i="30"/>
  <c r="J25" i="30"/>
  <c r="H25" i="30"/>
  <c r="R24" i="30"/>
  <c r="K24" i="30"/>
  <c r="J24" i="30"/>
  <c r="H24" i="30"/>
  <c r="R23" i="30"/>
  <c r="K23" i="30"/>
  <c r="J23" i="30"/>
  <c r="H23" i="30"/>
  <c r="R22" i="30"/>
  <c r="K22" i="30"/>
  <c r="J22" i="30"/>
  <c r="H22" i="30"/>
  <c r="R21" i="30"/>
  <c r="K21" i="30"/>
  <c r="J21" i="30"/>
  <c r="H21" i="30"/>
  <c r="R20" i="30"/>
  <c r="K20" i="30"/>
  <c r="J20" i="30"/>
  <c r="H20" i="30"/>
  <c r="R19" i="30"/>
  <c r="K19" i="30"/>
  <c r="J19" i="30"/>
  <c r="H19" i="30"/>
  <c r="R18" i="30"/>
  <c r="K18" i="30"/>
  <c r="J18" i="30"/>
  <c r="H18" i="30"/>
  <c r="R17" i="30"/>
  <c r="K17" i="30"/>
  <c r="J17" i="30"/>
  <c r="H17" i="30"/>
  <c r="R16" i="30"/>
  <c r="K16" i="30"/>
  <c r="J16" i="30"/>
  <c r="H16" i="30"/>
  <c r="R15" i="30"/>
  <c r="K15" i="30"/>
  <c r="J15" i="30"/>
  <c r="H15" i="30"/>
  <c r="R14" i="30"/>
  <c r="K14" i="30"/>
  <c r="J14" i="30"/>
  <c r="H14" i="30"/>
  <c r="R13" i="30"/>
  <c r="K13" i="30"/>
  <c r="J13" i="30"/>
  <c r="H13" i="30"/>
  <c r="R12" i="30"/>
  <c r="K12" i="30"/>
  <c r="J12" i="30"/>
  <c r="H12" i="30"/>
  <c r="R11" i="30"/>
  <c r="K11" i="30"/>
  <c r="J11" i="30"/>
  <c r="H11" i="30"/>
  <c r="R10" i="30"/>
  <c r="K10" i="30"/>
  <c r="J10" i="30"/>
  <c r="H10" i="30"/>
  <c r="R9" i="30"/>
  <c r="K9" i="30"/>
  <c r="J9" i="30"/>
  <c r="H9" i="30"/>
  <c r="R8" i="30"/>
  <c r="K8" i="30"/>
  <c r="J8" i="30"/>
  <c r="H8" i="30"/>
  <c r="R7" i="30"/>
  <c r="K7" i="30"/>
  <c r="J7" i="30"/>
  <c r="R93" i="30" s="1"/>
  <c r="H7" i="30"/>
  <c r="G101" i="29"/>
  <c r="C101" i="29"/>
  <c r="G100" i="29"/>
  <c r="F100" i="29"/>
  <c r="B100" i="29"/>
  <c r="F99" i="29"/>
  <c r="D99" i="29"/>
  <c r="J98" i="29"/>
  <c r="H98" i="29" s="1"/>
  <c r="D98" i="29"/>
  <c r="C98" i="29"/>
  <c r="C97" i="29"/>
  <c r="B97" i="29"/>
  <c r="G96" i="29"/>
  <c r="B96" i="29"/>
  <c r="R93" i="29"/>
  <c r="P93" i="29"/>
  <c r="J101" i="29" s="1"/>
  <c r="H101" i="29" s="1"/>
  <c r="O93" i="29"/>
  <c r="J100" i="29" s="1"/>
  <c r="H100" i="29" s="1"/>
  <c r="N93" i="29"/>
  <c r="J99" i="29" s="1"/>
  <c r="H99" i="29" s="1"/>
  <c r="M93" i="29"/>
  <c r="L93" i="29"/>
  <c r="J97" i="29" s="1"/>
  <c r="H97" i="29" s="1"/>
  <c r="K93" i="29"/>
  <c r="J96" i="29" s="1"/>
  <c r="H96" i="29" s="1"/>
  <c r="D93" i="29"/>
  <c r="C93" i="29"/>
  <c r="B93" i="29"/>
  <c r="F89" i="29"/>
  <c r="G102" i="29" s="1"/>
  <c r="E89" i="29"/>
  <c r="F101" i="29" s="1"/>
  <c r="D89" i="29"/>
  <c r="D100" i="29" s="1"/>
  <c r="C89" i="29"/>
  <c r="C99" i="29" s="1"/>
  <c r="B89" i="29"/>
  <c r="B98" i="29" s="1"/>
  <c r="J82" i="29"/>
  <c r="I89" i="29" s="1"/>
  <c r="R81" i="29"/>
  <c r="K81" i="29"/>
  <c r="J81" i="29"/>
  <c r="H81" i="29"/>
  <c r="R80" i="29"/>
  <c r="K80" i="29"/>
  <c r="J80" i="29"/>
  <c r="H80" i="29"/>
  <c r="R79" i="29"/>
  <c r="K79" i="29"/>
  <c r="J79" i="29"/>
  <c r="H79" i="29"/>
  <c r="R78" i="29"/>
  <c r="K78" i="29"/>
  <c r="J78" i="29"/>
  <c r="H78" i="29"/>
  <c r="R77" i="29"/>
  <c r="K77" i="29"/>
  <c r="J77" i="29"/>
  <c r="H77" i="29"/>
  <c r="R76" i="29"/>
  <c r="K76" i="29"/>
  <c r="J76" i="29"/>
  <c r="H76" i="29"/>
  <c r="R75" i="29"/>
  <c r="K75" i="29"/>
  <c r="J75" i="29"/>
  <c r="H75" i="29"/>
  <c r="R74" i="29"/>
  <c r="K74" i="29"/>
  <c r="J74" i="29"/>
  <c r="H74" i="29"/>
  <c r="R73" i="29"/>
  <c r="K73" i="29"/>
  <c r="J73" i="29"/>
  <c r="H73" i="29"/>
  <c r="R72" i="29"/>
  <c r="K72" i="29"/>
  <c r="J72" i="29"/>
  <c r="H72" i="29"/>
  <c r="R71" i="29"/>
  <c r="K71" i="29"/>
  <c r="J71" i="29"/>
  <c r="H71" i="29"/>
  <c r="R70" i="29"/>
  <c r="K70" i="29"/>
  <c r="J70" i="29"/>
  <c r="H70" i="29"/>
  <c r="R69" i="29"/>
  <c r="K69" i="29"/>
  <c r="J69" i="29"/>
  <c r="H69" i="29"/>
  <c r="R68" i="29"/>
  <c r="K68" i="29"/>
  <c r="J68" i="29"/>
  <c r="H68" i="29"/>
  <c r="R67" i="29"/>
  <c r="K67" i="29"/>
  <c r="J67" i="29"/>
  <c r="H67" i="29"/>
  <c r="R66" i="29"/>
  <c r="K66" i="29"/>
  <c r="J66" i="29"/>
  <c r="H66" i="29"/>
  <c r="R65" i="29"/>
  <c r="K65" i="29"/>
  <c r="J65" i="29"/>
  <c r="H65" i="29"/>
  <c r="R64" i="29"/>
  <c r="K64" i="29"/>
  <c r="J64" i="29"/>
  <c r="H64" i="29"/>
  <c r="R63" i="29"/>
  <c r="K63" i="29"/>
  <c r="J63" i="29"/>
  <c r="H63" i="29"/>
  <c r="R62" i="29"/>
  <c r="K62" i="29"/>
  <c r="J62" i="29"/>
  <c r="H62" i="29"/>
  <c r="R61" i="29"/>
  <c r="K61" i="29"/>
  <c r="J61" i="29"/>
  <c r="H61" i="29"/>
  <c r="R60" i="29"/>
  <c r="K60" i="29"/>
  <c r="J60" i="29"/>
  <c r="H60" i="29"/>
  <c r="R59" i="29"/>
  <c r="K59" i="29"/>
  <c r="J59" i="29"/>
  <c r="H59" i="29"/>
  <c r="R58" i="29"/>
  <c r="K58" i="29"/>
  <c r="J58" i="29"/>
  <c r="H58" i="29"/>
  <c r="R57" i="29"/>
  <c r="K57" i="29"/>
  <c r="J57" i="29"/>
  <c r="H57" i="29"/>
  <c r="R56" i="29"/>
  <c r="K56" i="29"/>
  <c r="J56" i="29"/>
  <c r="H56" i="29"/>
  <c r="R55" i="29"/>
  <c r="K55" i="29"/>
  <c r="J55" i="29"/>
  <c r="H55" i="29"/>
  <c r="R54" i="29"/>
  <c r="K54" i="29"/>
  <c r="J54" i="29"/>
  <c r="H54" i="29"/>
  <c r="R53" i="29"/>
  <c r="K53" i="29"/>
  <c r="J53" i="29"/>
  <c r="H53" i="29"/>
  <c r="R52" i="29"/>
  <c r="K52" i="29"/>
  <c r="J52" i="29"/>
  <c r="H52" i="29"/>
  <c r="R51" i="29"/>
  <c r="K51" i="29"/>
  <c r="J51" i="29"/>
  <c r="H51" i="29"/>
  <c r="R50" i="29"/>
  <c r="K50" i="29"/>
  <c r="J50" i="29"/>
  <c r="H50" i="29"/>
  <c r="R49" i="29"/>
  <c r="K49" i="29"/>
  <c r="J49" i="29"/>
  <c r="H49" i="29"/>
  <c r="R48" i="29"/>
  <c r="K48" i="29"/>
  <c r="J48" i="29"/>
  <c r="H48" i="29"/>
  <c r="R47" i="29"/>
  <c r="K47" i="29"/>
  <c r="J47" i="29"/>
  <c r="H47" i="29"/>
  <c r="R46" i="29"/>
  <c r="K46" i="29"/>
  <c r="J46" i="29"/>
  <c r="H46" i="29"/>
  <c r="R45" i="29"/>
  <c r="K45" i="29"/>
  <c r="J45" i="29"/>
  <c r="H45" i="29"/>
  <c r="R44" i="29"/>
  <c r="K44" i="29"/>
  <c r="J44" i="29"/>
  <c r="H44" i="29"/>
  <c r="R43" i="29"/>
  <c r="K43" i="29"/>
  <c r="J43" i="29"/>
  <c r="H43" i="29"/>
  <c r="R42" i="29"/>
  <c r="K42" i="29"/>
  <c r="J42" i="29"/>
  <c r="Q93" i="29" s="1"/>
  <c r="H42" i="29"/>
  <c r="J35" i="29"/>
  <c r="I93" i="29" s="1"/>
  <c r="R34" i="29"/>
  <c r="K34" i="29"/>
  <c r="J34" i="29"/>
  <c r="H34" i="29"/>
  <c r="R33" i="29"/>
  <c r="K33" i="29"/>
  <c r="J33" i="29"/>
  <c r="H33" i="29"/>
  <c r="R32" i="29"/>
  <c r="K32" i="29"/>
  <c r="J32" i="29"/>
  <c r="H32" i="29"/>
  <c r="R31" i="29"/>
  <c r="K31" i="29"/>
  <c r="J31" i="29"/>
  <c r="H31" i="29"/>
  <c r="R30" i="29"/>
  <c r="K30" i="29"/>
  <c r="J30" i="29"/>
  <c r="H30" i="29"/>
  <c r="R29" i="29"/>
  <c r="K29" i="29"/>
  <c r="J29" i="29"/>
  <c r="H29" i="29"/>
  <c r="R28" i="29"/>
  <c r="K28" i="29"/>
  <c r="J28" i="29"/>
  <c r="H28" i="29"/>
  <c r="R27" i="29"/>
  <c r="K27" i="29"/>
  <c r="J27" i="29"/>
  <c r="H27" i="29"/>
  <c r="R26" i="29"/>
  <c r="K26" i="29"/>
  <c r="J26" i="29"/>
  <c r="H26" i="29"/>
  <c r="R25" i="29"/>
  <c r="K25" i="29"/>
  <c r="J25" i="29"/>
  <c r="H25" i="29"/>
  <c r="R24" i="29"/>
  <c r="K24" i="29"/>
  <c r="J24" i="29"/>
  <c r="H24" i="29"/>
  <c r="R23" i="29"/>
  <c r="K23" i="29"/>
  <c r="J23" i="29"/>
  <c r="H23" i="29"/>
  <c r="R22" i="29"/>
  <c r="K22" i="29"/>
  <c r="J22" i="29"/>
  <c r="H22" i="29"/>
  <c r="R21" i="29"/>
  <c r="K21" i="29"/>
  <c r="J21" i="29"/>
  <c r="H21" i="29"/>
  <c r="R20" i="29"/>
  <c r="K20" i="29"/>
  <c r="J20" i="29"/>
  <c r="H20" i="29"/>
  <c r="R19" i="29"/>
  <c r="K19" i="29"/>
  <c r="J19" i="29"/>
  <c r="H19" i="29"/>
  <c r="R18" i="29"/>
  <c r="K18" i="29"/>
  <c r="J18" i="29"/>
  <c r="H18" i="29"/>
  <c r="R17" i="29"/>
  <c r="K17" i="29"/>
  <c r="J17" i="29"/>
  <c r="H17" i="29"/>
  <c r="R16" i="29"/>
  <c r="K16" i="29"/>
  <c r="J16" i="29"/>
  <c r="H16" i="29"/>
  <c r="R15" i="29"/>
  <c r="K15" i="29"/>
  <c r="J15" i="29"/>
  <c r="H15" i="29"/>
  <c r="R14" i="29"/>
  <c r="K14" i="29"/>
  <c r="J14" i="29"/>
  <c r="H14" i="29"/>
  <c r="R13" i="29"/>
  <c r="K13" i="29"/>
  <c r="J13" i="29"/>
  <c r="H13" i="29"/>
  <c r="R12" i="29"/>
  <c r="K12" i="29"/>
  <c r="J12" i="29"/>
  <c r="H12" i="29"/>
  <c r="R11" i="29"/>
  <c r="K11" i="29"/>
  <c r="J11" i="29"/>
  <c r="H11" i="29"/>
  <c r="R10" i="29"/>
  <c r="K10" i="29"/>
  <c r="J10" i="29"/>
  <c r="H10" i="29"/>
  <c r="R9" i="29"/>
  <c r="K9" i="29"/>
  <c r="J9" i="29"/>
  <c r="H9" i="29"/>
  <c r="R8" i="29"/>
  <c r="K8" i="29"/>
  <c r="J8" i="29"/>
  <c r="H8" i="29"/>
  <c r="R7" i="29"/>
  <c r="K7" i="29"/>
  <c r="J7" i="29"/>
  <c r="H7" i="29"/>
  <c r="I43" i="18"/>
  <c r="D43" i="18"/>
  <c r="I42" i="18"/>
  <c r="D42" i="18"/>
  <c r="I41" i="18"/>
  <c r="D41" i="18"/>
  <c r="I40" i="18"/>
  <c r="D40" i="18"/>
  <c r="I39" i="18"/>
  <c r="D39" i="18"/>
  <c r="I38" i="18"/>
  <c r="D38" i="18"/>
  <c r="I37" i="18"/>
  <c r="D37" i="18"/>
  <c r="I36" i="18"/>
  <c r="D36" i="18"/>
  <c r="I35" i="18"/>
  <c r="D35" i="18"/>
  <c r="I34" i="18"/>
  <c r="D34" i="18"/>
  <c r="I31" i="18"/>
  <c r="D31" i="18"/>
  <c r="I30" i="18"/>
  <c r="D30" i="18"/>
  <c r="I29" i="18"/>
  <c r="D29" i="18"/>
  <c r="I28" i="18"/>
  <c r="D28" i="18"/>
  <c r="I27" i="18"/>
  <c r="D27" i="18"/>
  <c r="I26" i="18"/>
  <c r="D26" i="18"/>
  <c r="I25" i="18"/>
  <c r="D25" i="18"/>
  <c r="I24" i="18"/>
  <c r="D24" i="18"/>
  <c r="I23" i="18"/>
  <c r="D23" i="18"/>
  <c r="I22" i="18"/>
  <c r="D22" i="18"/>
  <c r="I21" i="18"/>
  <c r="D21" i="18"/>
  <c r="I20" i="18"/>
  <c r="D20" i="18"/>
  <c r="I19" i="18"/>
  <c r="D19" i="18"/>
  <c r="I18" i="18"/>
  <c r="D18" i="18"/>
  <c r="I17" i="18"/>
  <c r="D17" i="18"/>
  <c r="I16" i="18"/>
  <c r="D16" i="18"/>
  <c r="I15" i="18"/>
  <c r="D15" i="18"/>
  <c r="I14" i="18"/>
  <c r="D14" i="18"/>
  <c r="I13" i="18"/>
  <c r="D13" i="18"/>
  <c r="I12" i="18"/>
  <c r="D12" i="18"/>
  <c r="I11" i="18"/>
  <c r="D11" i="18"/>
  <c r="N8" i="34"/>
  <c r="P8" i="26"/>
  <c r="I4" i="34" l="1"/>
  <c r="D8" i="26"/>
  <c r="J102" i="29"/>
  <c r="J93" i="29"/>
  <c r="J83" i="32"/>
  <c r="G89" i="32" s="1"/>
  <c r="H25" i="26"/>
  <c r="G8" i="26"/>
  <c r="F8" i="26"/>
  <c r="F25" i="26" s="1"/>
  <c r="J25" i="26"/>
  <c r="I8" i="26"/>
  <c r="I25" i="26" s="1"/>
  <c r="H93" i="29"/>
  <c r="I102" i="29"/>
  <c r="H102" i="29" s="1"/>
  <c r="J93" i="33"/>
  <c r="B119" i="34"/>
  <c r="C120" i="34"/>
  <c r="F122" i="34"/>
  <c r="G96" i="33"/>
  <c r="B100" i="33"/>
  <c r="C101" i="33"/>
  <c r="D102" i="33"/>
  <c r="I113" i="34"/>
  <c r="Q113" i="34"/>
  <c r="J122" i="34" s="1"/>
  <c r="J116" i="34"/>
  <c r="H116" i="34" s="1"/>
  <c r="B118" i="34"/>
  <c r="C119" i="34"/>
  <c r="F121" i="34"/>
  <c r="G122" i="34"/>
  <c r="G101" i="32"/>
  <c r="J83" i="29"/>
  <c r="G89" i="29" s="1"/>
  <c r="C96" i="29"/>
  <c r="D97" i="29"/>
  <c r="F98" i="29"/>
  <c r="G99" i="29"/>
  <c r="Q93" i="30"/>
  <c r="J102" i="30" s="1"/>
  <c r="J96" i="30"/>
  <c r="H96" i="30" s="1"/>
  <c r="B98" i="30"/>
  <c r="C99" i="30"/>
  <c r="D100" i="30"/>
  <c r="F101" i="30"/>
  <c r="G102" i="30"/>
  <c r="F96" i="31"/>
  <c r="G97" i="31"/>
  <c r="B101" i="31"/>
  <c r="C102" i="31"/>
  <c r="H89" i="32"/>
  <c r="B96" i="32"/>
  <c r="C97" i="32"/>
  <c r="D98" i="32"/>
  <c r="F99" i="32"/>
  <c r="G100" i="32"/>
  <c r="I102" i="32"/>
  <c r="B99" i="33"/>
  <c r="C100" i="33"/>
  <c r="D101" i="33"/>
  <c r="F102" i="33"/>
  <c r="J113" i="34"/>
  <c r="B117" i="34"/>
  <c r="C118" i="34"/>
  <c r="F120" i="34"/>
  <c r="D101" i="30"/>
  <c r="D96" i="29"/>
  <c r="F97" i="29"/>
  <c r="G98" i="29"/>
  <c r="B102" i="29"/>
  <c r="J35" i="30"/>
  <c r="B97" i="30"/>
  <c r="C98" i="30"/>
  <c r="D99" i="30"/>
  <c r="F100" i="30"/>
  <c r="G101" i="30"/>
  <c r="G96" i="31"/>
  <c r="B100" i="31"/>
  <c r="C101" i="31"/>
  <c r="D102" i="31"/>
  <c r="C96" i="32"/>
  <c r="D97" i="32"/>
  <c r="F98" i="32"/>
  <c r="G99" i="32"/>
  <c r="J102" i="32"/>
  <c r="J96" i="33"/>
  <c r="H96" i="33" s="1"/>
  <c r="B98" i="33"/>
  <c r="C99" i="33"/>
  <c r="D100" i="33"/>
  <c r="H109" i="34"/>
  <c r="B116" i="34"/>
  <c r="C117" i="34"/>
  <c r="F119" i="34"/>
  <c r="D102" i="30"/>
  <c r="F96" i="29"/>
  <c r="G97" i="29"/>
  <c r="B101" i="29"/>
  <c r="C102" i="29"/>
  <c r="B96" i="30"/>
  <c r="C97" i="30"/>
  <c r="D98" i="30"/>
  <c r="F99" i="30"/>
  <c r="G100" i="30"/>
  <c r="B99" i="31"/>
  <c r="C100" i="31"/>
  <c r="D101" i="31"/>
  <c r="F102" i="31"/>
  <c r="D96" i="32"/>
  <c r="F97" i="32"/>
  <c r="G98" i="32"/>
  <c r="B102" i="32"/>
  <c r="J35" i="33"/>
  <c r="B97" i="33"/>
  <c r="C98" i="33"/>
  <c r="D99" i="33"/>
  <c r="J103" i="34"/>
  <c r="G109" i="34" s="1"/>
  <c r="C116" i="34"/>
  <c r="F118" i="34"/>
  <c r="G119" i="34"/>
  <c r="B102" i="31"/>
  <c r="D102" i="29"/>
  <c r="D97" i="30"/>
  <c r="F98" i="30"/>
  <c r="Q93" i="31"/>
  <c r="J102" i="31" s="1"/>
  <c r="B98" i="31"/>
  <c r="G102" i="31"/>
  <c r="G97" i="32"/>
  <c r="C102" i="32"/>
  <c r="C97" i="33"/>
  <c r="D98" i="33"/>
  <c r="F117" i="34"/>
  <c r="G118" i="34"/>
  <c r="B122" i="34"/>
  <c r="J12" i="35"/>
  <c r="K12" i="35" s="1"/>
  <c r="C102" i="33"/>
  <c r="H89" i="29"/>
  <c r="F102" i="30"/>
  <c r="B99" i="29"/>
  <c r="C100" i="29"/>
  <c r="D101" i="29"/>
  <c r="F102" i="29"/>
  <c r="F97" i="30"/>
  <c r="G98" i="30"/>
  <c r="B102" i="30"/>
  <c r="J35" i="31"/>
  <c r="B97" i="31"/>
  <c r="C98" i="31"/>
  <c r="D99" i="31"/>
  <c r="F100" i="31"/>
  <c r="G101" i="31"/>
  <c r="G96" i="32"/>
  <c r="B100" i="32"/>
  <c r="C101" i="32"/>
  <c r="D102" i="32"/>
  <c r="D97" i="33"/>
  <c r="B121" i="34"/>
  <c r="C122" i="34"/>
  <c r="G25" i="26" l="1"/>
  <c r="E8" i="26"/>
  <c r="E25" i="26" s="1"/>
  <c r="H89" i="31"/>
  <c r="I93" i="31"/>
  <c r="J83" i="31"/>
  <c r="G89" i="31" s="1"/>
  <c r="H102" i="32"/>
  <c r="J83" i="33"/>
  <c r="G89" i="33" s="1"/>
  <c r="H89" i="33"/>
  <c r="I93" i="33"/>
  <c r="J83" i="30"/>
  <c r="G89" i="30" s="1"/>
  <c r="H89" i="30"/>
  <c r="I93" i="30"/>
  <c r="J93" i="31"/>
  <c r="J93" i="30"/>
  <c r="I122" i="34"/>
  <c r="H122" i="34" s="1"/>
  <c r="H113" i="34"/>
  <c r="D113" i="34"/>
  <c r="D109" i="34"/>
  <c r="I39" i="34"/>
  <c r="I102" i="31" l="1"/>
  <c r="H102" i="31" s="1"/>
  <c r="H93" i="31"/>
  <c r="H93" i="30"/>
  <c r="I102" i="30"/>
  <c r="H102" i="30" s="1"/>
  <c r="D122" i="34"/>
  <c r="D116" i="34"/>
  <c r="D117" i="34"/>
  <c r="D118" i="34"/>
  <c r="D119" i="34"/>
  <c r="D120" i="34"/>
  <c r="D121" i="34"/>
  <c r="K11" i="28"/>
  <c r="K11" i="35"/>
  <c r="F30" i="26"/>
  <c r="L13" i="23"/>
  <c r="E26" i="26"/>
  <c r="I102" i="33"/>
  <c r="H102" i="33" s="1"/>
  <c r="H93" i="33"/>
  <c r="I13" i="23" l="1"/>
  <c r="H7" i="23" s="1"/>
  <c r="E13" i="23"/>
  <c r="E16" i="23"/>
  <c r="E14" i="23"/>
  <c r="N13" i="23"/>
  <c r="H11" i="35"/>
  <c r="H13" i="35" s="1"/>
  <c r="L4" i="35"/>
  <c r="K13" i="35"/>
  <c r="L4" i="28"/>
  <c r="K13" i="28"/>
  <c r="J11" i="28"/>
  <c r="J13" i="28" s="1"/>
  <c r="H11" i="28"/>
  <c r="H13" i="28" s="1"/>
  <c r="I16" i="23" l="1"/>
  <c r="I14" i="23"/>
  <c r="M13" i="23"/>
  <c r="G16" i="23" s="1"/>
  <c r="J11" i="35"/>
  <c r="J13" i="35" s="1"/>
</calcChain>
</file>

<file path=xl/sharedStrings.xml><?xml version="1.0" encoding="utf-8"?>
<sst xmlns="http://schemas.openxmlformats.org/spreadsheetml/2006/main" count="1831" uniqueCount="710">
  <si>
    <t>Description</t>
  </si>
  <si>
    <t>unit</t>
  </si>
  <si>
    <t>price</t>
  </si>
  <si>
    <t>payment</t>
  </si>
  <si>
    <t>cost</t>
  </si>
  <si>
    <t>固井技术服务1</t>
  </si>
  <si>
    <t>元/天</t>
  </si>
  <si>
    <t>P53.6.2.58</t>
  </si>
  <si>
    <t>固井技术服务2</t>
  </si>
  <si>
    <t>P53.6.2.59</t>
  </si>
  <si>
    <t>固井技术服务3</t>
  </si>
  <si>
    <t>P53.6.2.60</t>
  </si>
  <si>
    <t>固井技术服务4</t>
  </si>
  <si>
    <t>元/人/次</t>
  </si>
  <si>
    <t>P58.6.2.157</t>
  </si>
  <si>
    <t>固井技术服务5</t>
  </si>
  <si>
    <t>P58.6.2.158</t>
  </si>
  <si>
    <t>固井技术服务6</t>
  </si>
  <si>
    <t>P58.6.2.159</t>
  </si>
  <si>
    <t>固井技术服务7</t>
  </si>
  <si>
    <t>P58.6.2.160</t>
  </si>
  <si>
    <t>固井技术服务8</t>
  </si>
  <si>
    <t>P58.6.2.161</t>
  </si>
  <si>
    <t>固井技术服务9</t>
  </si>
  <si>
    <t>P58.6.2.162</t>
  </si>
  <si>
    <t>固井技术服务10</t>
  </si>
  <si>
    <t>P58.6.2.163</t>
  </si>
  <si>
    <t>固井技术服务11</t>
  </si>
  <si>
    <t>P58.6.2.164</t>
  </si>
  <si>
    <t>设备工具服务操作1</t>
  </si>
  <si>
    <t>元/井</t>
  </si>
  <si>
    <t>P59.6.2.180</t>
  </si>
  <si>
    <t>设备工具服务操作2</t>
  </si>
  <si>
    <t>P59.6.2.181</t>
  </si>
  <si>
    <t>设备工具服务操作3</t>
  </si>
  <si>
    <t>元/次/套</t>
  </si>
  <si>
    <t>P53.6.2.61</t>
  </si>
  <si>
    <t>设备工具服务操作4</t>
  </si>
  <si>
    <t>元/次</t>
  </si>
  <si>
    <t>P59.6.2.178</t>
  </si>
  <si>
    <t>设备工具服务操作5</t>
  </si>
  <si>
    <t>P59.6.2.172</t>
  </si>
  <si>
    <t>设备工具服务操作6</t>
  </si>
  <si>
    <t>元/层</t>
  </si>
  <si>
    <t>P59.6.2.179</t>
  </si>
  <si>
    <t>设备工具服务操作7</t>
  </si>
  <si>
    <t>P59.6.2.174</t>
  </si>
  <si>
    <t>设备工具服务操作8</t>
  </si>
  <si>
    <t>P59.6.2.176</t>
  </si>
  <si>
    <t>设备工具服务操作9</t>
  </si>
  <si>
    <t>次</t>
  </si>
  <si>
    <t>P59.6.2.175</t>
  </si>
  <si>
    <t>设备工具服务操作10</t>
  </si>
  <si>
    <t>P59.6.2.173</t>
  </si>
  <si>
    <t>设备工具服务操作11</t>
  </si>
  <si>
    <t>元/套</t>
  </si>
  <si>
    <t>P59.6.2.177</t>
  </si>
  <si>
    <t>设备工具服务操作12</t>
  </si>
  <si>
    <t>P59.6.2.182</t>
  </si>
  <si>
    <t>设备工具服务操作13</t>
  </si>
  <si>
    <t>P58.6.2.165</t>
  </si>
  <si>
    <t>设备工具服务操作14</t>
  </si>
  <si>
    <t>设备工具服务操作15</t>
  </si>
  <si>
    <t>P58.6.2.166</t>
  </si>
  <si>
    <t>设备工具服务操作16</t>
  </si>
  <si>
    <t>设备工具服务操作17</t>
  </si>
  <si>
    <t>元/个</t>
  </si>
  <si>
    <t>P58.6.2.167</t>
  </si>
  <si>
    <t>设备工具服务操作18</t>
  </si>
  <si>
    <r>
      <rPr>
        <sz val="10"/>
        <rFont val="宋体"/>
        <charset val="134"/>
      </rPr>
      <t>元</t>
    </r>
    <r>
      <rPr>
        <sz val="10"/>
        <rFont val="Arial"/>
      </rPr>
      <t>/</t>
    </r>
    <r>
      <rPr>
        <sz val="10"/>
        <rFont val="宋体"/>
        <charset val="134"/>
      </rPr>
      <t>井</t>
    </r>
  </si>
  <si>
    <t>P58.6.2.168</t>
  </si>
  <si>
    <t>设备工具服务操作19</t>
  </si>
  <si>
    <t>P58.6.2.169</t>
  </si>
  <si>
    <t>设备工具服务操作20</t>
  </si>
  <si>
    <t>P59.6.2.170</t>
  </si>
  <si>
    <t>设备工具服务操作21</t>
  </si>
  <si>
    <t>P59.6.2.171</t>
  </si>
  <si>
    <t>材料1</t>
  </si>
  <si>
    <t>吨</t>
  </si>
  <si>
    <t>P52.6.2.1</t>
  </si>
  <si>
    <t>材料2</t>
  </si>
  <si>
    <t>KG</t>
  </si>
  <si>
    <t>P52.6.2.2</t>
  </si>
  <si>
    <t>材料3</t>
  </si>
  <si>
    <t>P52.6.2.3</t>
  </si>
  <si>
    <t>材料4</t>
  </si>
  <si>
    <t>P52.6.2.4</t>
  </si>
  <si>
    <t>材料5</t>
  </si>
  <si>
    <t>P52.6.2.5</t>
  </si>
  <si>
    <t>材料6</t>
  </si>
  <si>
    <t>P52.6.2.6</t>
  </si>
  <si>
    <t>材料7</t>
  </si>
  <si>
    <t>P52.6.2.7</t>
  </si>
  <si>
    <t>材料8</t>
  </si>
  <si>
    <t>P52.6.2.8</t>
  </si>
  <si>
    <t>材料9</t>
  </si>
  <si>
    <t>P52.6.2.9</t>
  </si>
  <si>
    <t>材料10</t>
  </si>
  <si>
    <t>P52.6.2.10</t>
  </si>
  <si>
    <t>材料11</t>
  </si>
  <si>
    <t>P52.6.2.11</t>
  </si>
  <si>
    <t>材料12</t>
  </si>
  <si>
    <t>P52.6.2.12</t>
  </si>
  <si>
    <t>材料13</t>
  </si>
  <si>
    <t>P52.6.2.13</t>
  </si>
  <si>
    <t>材料14</t>
  </si>
  <si>
    <t>P52.6.2.14</t>
  </si>
  <si>
    <t>材料15</t>
  </si>
  <si>
    <t>P52.6.2.15</t>
  </si>
  <si>
    <t>材料16</t>
  </si>
  <si>
    <t>P52.6.2.16</t>
  </si>
  <si>
    <t>材料17</t>
  </si>
  <si>
    <t>P52.6.2.17</t>
  </si>
  <si>
    <t>材料18</t>
  </si>
  <si>
    <t>P52.6.2.18</t>
  </si>
  <si>
    <t>材料19</t>
  </si>
  <si>
    <t>P52.6.2.19</t>
  </si>
  <si>
    <t>材料20</t>
  </si>
  <si>
    <t>P52.6.2.20</t>
  </si>
  <si>
    <t>材料21</t>
  </si>
  <si>
    <t>P52.6.2.21</t>
  </si>
  <si>
    <t>材料22</t>
  </si>
  <si>
    <t>P52.6.2.22</t>
  </si>
  <si>
    <t>材料23</t>
  </si>
  <si>
    <t>P52.6.2.23</t>
  </si>
  <si>
    <t>材料24</t>
  </si>
  <si>
    <t>P52.6.2.24</t>
  </si>
  <si>
    <t>材料25</t>
  </si>
  <si>
    <t>P52.6.2.25</t>
  </si>
  <si>
    <t>材料26</t>
  </si>
  <si>
    <t>P52.6.2.26</t>
  </si>
  <si>
    <t>材料27</t>
  </si>
  <si>
    <t>P52.6.2.27</t>
  </si>
  <si>
    <t>材料28</t>
  </si>
  <si>
    <t>P52.6.2.28</t>
  </si>
  <si>
    <t>材料29</t>
  </si>
  <si>
    <t>P52.6.2.29</t>
  </si>
  <si>
    <t>材料30</t>
  </si>
  <si>
    <t>P52.6.2.30</t>
  </si>
  <si>
    <t>材料31</t>
  </si>
  <si>
    <t>P52.6.2.31</t>
  </si>
  <si>
    <t>材料32</t>
  </si>
  <si>
    <t>P52.6.2.32</t>
  </si>
  <si>
    <t>材料33</t>
  </si>
  <si>
    <t>P52.6.2.33</t>
  </si>
  <si>
    <t>材料34</t>
  </si>
  <si>
    <t>P52.6.2.34</t>
  </si>
  <si>
    <t>材料35</t>
  </si>
  <si>
    <t>P52.6.2.35</t>
  </si>
  <si>
    <t>材料36</t>
  </si>
  <si>
    <t>P52.6.2.36</t>
  </si>
  <si>
    <t>材料37</t>
  </si>
  <si>
    <t>P52.6.2.37</t>
  </si>
  <si>
    <t>材料38</t>
  </si>
  <si>
    <t>P53.6.2.38</t>
  </si>
  <si>
    <t>材料39</t>
  </si>
  <si>
    <t>P53.6.2.39</t>
  </si>
  <si>
    <t>材料40</t>
  </si>
  <si>
    <t>P53.6.2.40</t>
  </si>
  <si>
    <t>材料41</t>
  </si>
  <si>
    <t>P53.6.2.41</t>
  </si>
  <si>
    <t>材料42</t>
  </si>
  <si>
    <t>P53.6.2.42</t>
  </si>
  <si>
    <t>材料43</t>
  </si>
  <si>
    <t>P53.6.2.43</t>
  </si>
  <si>
    <t>材料44</t>
  </si>
  <si>
    <t>P53.6.2.44</t>
  </si>
  <si>
    <t>材料45</t>
  </si>
  <si>
    <t>P53.6.2.45</t>
  </si>
  <si>
    <t>材料46</t>
  </si>
  <si>
    <t>P53.6.2.46</t>
  </si>
  <si>
    <t>材料47</t>
  </si>
  <si>
    <t>P53.6.2.47</t>
  </si>
  <si>
    <t>材料48</t>
  </si>
  <si>
    <t>P53.6.2.48</t>
  </si>
  <si>
    <t>材料49</t>
  </si>
  <si>
    <t>P53.6.2.49</t>
  </si>
  <si>
    <t>材料50</t>
  </si>
  <si>
    <t>P53.6.2.50</t>
  </si>
  <si>
    <t>材料51</t>
  </si>
  <si>
    <t>P53.6.2.51</t>
  </si>
  <si>
    <t>材料52</t>
  </si>
  <si>
    <t>P53.6.2.52</t>
  </si>
  <si>
    <t>材料53</t>
  </si>
  <si>
    <t>P53.6.2.53</t>
  </si>
  <si>
    <t>材料54</t>
  </si>
  <si>
    <t>P53.6.2.54</t>
  </si>
  <si>
    <t>材料55</t>
  </si>
  <si>
    <t>P53.6.2.55</t>
  </si>
  <si>
    <t>材料56</t>
  </si>
  <si>
    <t>P53.6.2.56</t>
  </si>
  <si>
    <t>材料57</t>
  </si>
  <si>
    <t>P53.6.2.57</t>
  </si>
  <si>
    <t>套管附件1</t>
  </si>
  <si>
    <t>盒</t>
  </si>
  <si>
    <t>P53.6.2.62</t>
  </si>
  <si>
    <t>套管附件2</t>
  </si>
  <si>
    <t>只</t>
  </si>
  <si>
    <t>P53.6.2.63</t>
  </si>
  <si>
    <t>套管附件3</t>
  </si>
  <si>
    <t>P53.6.2.64</t>
  </si>
  <si>
    <t>套管附件4</t>
  </si>
  <si>
    <t>P53.6.2.65</t>
  </si>
  <si>
    <t>套管附件5</t>
  </si>
  <si>
    <t>P53.6.2.66</t>
  </si>
  <si>
    <t>套管附件6</t>
  </si>
  <si>
    <t>P53.6.2.67</t>
  </si>
  <si>
    <t>套管附件7</t>
  </si>
  <si>
    <t>P54.6.2.68</t>
  </si>
  <si>
    <t>套管附件8</t>
  </si>
  <si>
    <t>P54.6.2.69</t>
  </si>
  <si>
    <t>套管附件9</t>
  </si>
  <si>
    <t>P54.6.2.70</t>
  </si>
  <si>
    <t>套管附件10</t>
  </si>
  <si>
    <t>个</t>
  </si>
  <si>
    <t>P54.6.2.71</t>
  </si>
  <si>
    <t>套管附件11</t>
  </si>
  <si>
    <t>P54.6.2.72</t>
  </si>
  <si>
    <t>套管附件12</t>
  </si>
  <si>
    <t>P54.6.2.73</t>
  </si>
  <si>
    <t>套管附件13</t>
  </si>
  <si>
    <t>P54.6.2.74</t>
  </si>
  <si>
    <t>套管附件14</t>
  </si>
  <si>
    <t>P54.6.2.75</t>
  </si>
  <si>
    <t>套管附件15</t>
  </si>
  <si>
    <t>P54.6.2.76</t>
  </si>
  <si>
    <t>套管附件16</t>
  </si>
  <si>
    <t>P54.6.2.77</t>
  </si>
  <si>
    <t>套管附件17</t>
  </si>
  <si>
    <t>P54.6.2.78</t>
  </si>
  <si>
    <t>套管附件18</t>
  </si>
  <si>
    <t>P54.6.2.79</t>
  </si>
  <si>
    <t>套管附件19</t>
  </si>
  <si>
    <t>P54.6.2.80</t>
  </si>
  <si>
    <t>套管附件20</t>
  </si>
  <si>
    <t>P54.6.2.81</t>
  </si>
  <si>
    <t>套管附件21</t>
  </si>
  <si>
    <t>P54.6.2.82</t>
  </si>
  <si>
    <t>套管附件22</t>
  </si>
  <si>
    <t>P54.6.2.83</t>
  </si>
  <si>
    <t>套管附件23</t>
  </si>
  <si>
    <t>P54.6.2.84</t>
  </si>
  <si>
    <t>套管附件24</t>
  </si>
  <si>
    <t>P54.6.2.85</t>
  </si>
  <si>
    <t>套管附件25</t>
  </si>
  <si>
    <t>P54.6.2.86</t>
  </si>
  <si>
    <t>套管附件26</t>
  </si>
  <si>
    <t>P54.6.2.87</t>
  </si>
  <si>
    <t>套管附件27</t>
  </si>
  <si>
    <t>P54.6.2.88</t>
  </si>
  <si>
    <t>套管附件28</t>
  </si>
  <si>
    <t>P54.6.2.89</t>
  </si>
  <si>
    <t>套管附件29</t>
  </si>
  <si>
    <t>P54.6.2.90</t>
  </si>
  <si>
    <t>套管附件30</t>
  </si>
  <si>
    <t>P54.6.2.91</t>
  </si>
  <si>
    <t>套管附件31</t>
  </si>
  <si>
    <t>P54.6.2.92</t>
  </si>
  <si>
    <t>套管附件32</t>
  </si>
  <si>
    <t>套</t>
  </si>
  <si>
    <t>P54.6.2.93</t>
  </si>
  <si>
    <t>套管附件33</t>
  </si>
  <si>
    <t>P54.6.2.94</t>
  </si>
  <si>
    <t>套管附件34</t>
  </si>
  <si>
    <t>P55.6.2.95</t>
  </si>
  <si>
    <t>套管附件35</t>
  </si>
  <si>
    <t>P55.6.2.96</t>
  </si>
  <si>
    <t>套管附件36</t>
  </si>
  <si>
    <t>P55.6.2.97</t>
  </si>
  <si>
    <t>套管附件37</t>
  </si>
  <si>
    <t>P55.6.2.98</t>
  </si>
  <si>
    <t>套管附件38</t>
  </si>
  <si>
    <t>P55.6.2.99</t>
  </si>
  <si>
    <t>套管附件39</t>
  </si>
  <si>
    <t>P55.6.2.100</t>
  </si>
  <si>
    <t>套管附件40</t>
  </si>
  <si>
    <t>P55.6.2.101</t>
  </si>
  <si>
    <t>套管附件41</t>
  </si>
  <si>
    <t>P55.6.2.102</t>
  </si>
  <si>
    <t>套管附件42</t>
  </si>
  <si>
    <t>P55.6.2.103</t>
  </si>
  <si>
    <t>套管附件43</t>
  </si>
  <si>
    <t>P55.6.2.104</t>
  </si>
  <si>
    <t>套管附件44</t>
  </si>
  <si>
    <t>P55.6.2.105</t>
  </si>
  <si>
    <t>套管附件45</t>
  </si>
  <si>
    <t>P55.6.2.106</t>
  </si>
  <si>
    <t>套管附件46</t>
  </si>
  <si>
    <t>P55.6.2.107</t>
  </si>
  <si>
    <t>套管附件47</t>
  </si>
  <si>
    <t>P55.6.2.108</t>
  </si>
  <si>
    <t>套管附件48</t>
  </si>
  <si>
    <t>P55.6.2.109</t>
  </si>
  <si>
    <t>套管附件49</t>
  </si>
  <si>
    <t>P55.6.2.110</t>
  </si>
  <si>
    <t>套管附件50</t>
  </si>
  <si>
    <t>P55.6.2.111</t>
  </si>
  <si>
    <t>套管附件51</t>
  </si>
  <si>
    <t>P55.6.2.112</t>
  </si>
  <si>
    <t>套管附件52</t>
  </si>
  <si>
    <t>P55.6.2.113</t>
  </si>
  <si>
    <t>套管附件53</t>
  </si>
  <si>
    <t>P55.6.2.114</t>
  </si>
  <si>
    <t>套管附件54</t>
  </si>
  <si>
    <t>P55.6.2.115</t>
  </si>
  <si>
    <t>套管附件55</t>
  </si>
  <si>
    <t>P55.6.2.116</t>
  </si>
  <si>
    <t>套管附件56</t>
  </si>
  <si>
    <t>P56.6.2.117</t>
  </si>
  <si>
    <t>套管附件57</t>
  </si>
  <si>
    <t>P56.6.2.118</t>
  </si>
  <si>
    <t>套管附件58</t>
  </si>
  <si>
    <t>P56.6.2.119</t>
  </si>
  <si>
    <t>套管附件59</t>
  </si>
  <si>
    <t>P56.6.2.120</t>
  </si>
  <si>
    <t>套管附件60</t>
  </si>
  <si>
    <t>P56.6.2.121</t>
  </si>
  <si>
    <t>套管附件61</t>
  </si>
  <si>
    <t>P56.6.2.122</t>
  </si>
  <si>
    <t>套管附件62</t>
  </si>
  <si>
    <t>P56.6.2.123</t>
  </si>
  <si>
    <t>套管附件63</t>
  </si>
  <si>
    <t>P56.6.2.124</t>
  </si>
  <si>
    <t>套管附件64</t>
  </si>
  <si>
    <t>P56.6.2.125</t>
  </si>
  <si>
    <t>套管附件65</t>
  </si>
  <si>
    <t>P56.6.2.126</t>
  </si>
  <si>
    <t>套管附件66</t>
  </si>
  <si>
    <t>P56.6.2.127</t>
  </si>
  <si>
    <t>套管附件67</t>
  </si>
  <si>
    <r>
      <rPr>
        <sz val="10"/>
        <rFont val="宋体"/>
        <charset val="134"/>
      </rPr>
      <t>只</t>
    </r>
  </si>
  <si>
    <t>P56.6.2.128</t>
  </si>
  <si>
    <t>套管附件68</t>
  </si>
  <si>
    <t>P56.6.2.129</t>
  </si>
  <si>
    <t>套管附件69</t>
  </si>
  <si>
    <t>P56.6.2.130</t>
  </si>
  <si>
    <t>套管附件70</t>
  </si>
  <si>
    <t>P56.6.2.131</t>
  </si>
  <si>
    <t>套管附件71</t>
  </si>
  <si>
    <t>P56.6.2.132</t>
  </si>
  <si>
    <t>套管附件72</t>
  </si>
  <si>
    <t>P56.6.2.133</t>
  </si>
  <si>
    <t>套管附件73</t>
  </si>
  <si>
    <t>P57.6.2.134</t>
  </si>
  <si>
    <t>套管附件74</t>
  </si>
  <si>
    <t>P57.6.2.135</t>
  </si>
  <si>
    <t>套管附件75</t>
  </si>
  <si>
    <t>P57.6.2.136</t>
  </si>
  <si>
    <t>套管附件76</t>
  </si>
  <si>
    <t>P57.6.2.137</t>
  </si>
  <si>
    <t>套管附件77</t>
  </si>
  <si>
    <t>P57.6.2.138</t>
  </si>
  <si>
    <t>套管附件78</t>
  </si>
  <si>
    <t>P57.6.2.139</t>
  </si>
  <si>
    <t>套管附件79</t>
  </si>
  <si>
    <t>P57.6.2.140</t>
  </si>
  <si>
    <t>套管附件80</t>
  </si>
  <si>
    <t>P57.6.2.141</t>
  </si>
  <si>
    <t>套管附件81</t>
  </si>
  <si>
    <t>P57.6.2.142</t>
  </si>
  <si>
    <t>套管附件82</t>
  </si>
  <si>
    <t>P57.6.2.143</t>
  </si>
  <si>
    <t>套管附件83</t>
  </si>
  <si>
    <t>P57.6.2.144</t>
  </si>
  <si>
    <t>套管附件84</t>
  </si>
  <si>
    <t>P57.6.2.145</t>
  </si>
  <si>
    <t>套管附件85</t>
  </si>
  <si>
    <t>P57.6.2.146</t>
  </si>
  <si>
    <t>套管附件86</t>
  </si>
  <si>
    <t>P57.6.2.147</t>
  </si>
  <si>
    <t>套管附件87</t>
  </si>
  <si>
    <t>P57.6.2.148</t>
  </si>
  <si>
    <t>套管附件88</t>
  </si>
  <si>
    <t>P57.6.2.149</t>
  </si>
  <si>
    <t>套管附件89</t>
  </si>
  <si>
    <t>P57.6.2.150</t>
  </si>
  <si>
    <t>套管附件90</t>
  </si>
  <si>
    <t>P57.6.2.151</t>
  </si>
  <si>
    <t>套管附件91</t>
  </si>
  <si>
    <t>P57.6.2.152</t>
  </si>
  <si>
    <t>套管附件92</t>
  </si>
  <si>
    <t>P57.6.2.153</t>
  </si>
  <si>
    <t>套管附件93</t>
  </si>
  <si>
    <t>P57.6.2.154</t>
  </si>
  <si>
    <t>套管附件94</t>
  </si>
  <si>
    <t>P58.6.2.155</t>
  </si>
  <si>
    <t>套管附件95</t>
  </si>
  <si>
    <t>P58.6.2.156</t>
  </si>
  <si>
    <t>套管附件96</t>
  </si>
  <si>
    <t>P59.6.2.183</t>
  </si>
  <si>
    <t>套管附件97</t>
  </si>
  <si>
    <t>P59.6.2.184</t>
  </si>
  <si>
    <t>套管附件98</t>
  </si>
  <si>
    <t>P59.6.2.185</t>
  </si>
  <si>
    <t>套管附件99</t>
  </si>
  <si>
    <t>P59.6.2.186</t>
  </si>
  <si>
    <t>体系1</t>
  </si>
  <si>
    <t>体系2</t>
  </si>
  <si>
    <t>体系3</t>
  </si>
  <si>
    <t>体系4</t>
  </si>
  <si>
    <t>体系5</t>
  </si>
  <si>
    <t>体系6</t>
  </si>
  <si>
    <t>体系7</t>
  </si>
  <si>
    <t>体系8</t>
  </si>
  <si>
    <t>体系9</t>
  </si>
  <si>
    <t>体系10</t>
  </si>
  <si>
    <t>体系11</t>
  </si>
  <si>
    <t>体系12</t>
  </si>
  <si>
    <t>体系13</t>
  </si>
  <si>
    <t>体系14</t>
  </si>
  <si>
    <t>体系15</t>
  </si>
  <si>
    <t>体系16</t>
  </si>
  <si>
    <t>体系17</t>
  </si>
  <si>
    <t>Ⅰ型超低密度</t>
  </si>
  <si>
    <t>Ⅰ型高温常规密度</t>
  </si>
  <si>
    <t>Ⅰ型防气窜</t>
  </si>
  <si>
    <t>Ⅰ型普通低温体系</t>
  </si>
  <si>
    <t>Ⅰ型低温</t>
  </si>
  <si>
    <t>Ⅰ型常规密度</t>
  </si>
  <si>
    <t>Ⅰ型低密度</t>
  </si>
  <si>
    <t>Ⅰ型水基普通型</t>
  </si>
  <si>
    <t>Ⅰ型油基普通型</t>
  </si>
  <si>
    <t>Ⅰ型常规隔离液体系</t>
  </si>
  <si>
    <t>Ⅱ型常规低密高强</t>
  </si>
  <si>
    <t>Ⅱ型高温高密度</t>
  </si>
  <si>
    <t>Ⅱ型高温防气窜</t>
  </si>
  <si>
    <t>Ⅱ型超低温体系</t>
  </si>
  <si>
    <t>Ⅱ型中低温</t>
  </si>
  <si>
    <t>Ⅱ型高密度</t>
  </si>
  <si>
    <t>Ⅱ型常规密度</t>
  </si>
  <si>
    <t>Ⅱ型常温</t>
  </si>
  <si>
    <t>Ⅱ型水基高效型</t>
  </si>
  <si>
    <t>Ⅱ型油基高效型</t>
  </si>
  <si>
    <t>Ⅱ型超高温隔离液体系</t>
  </si>
  <si>
    <t>Ⅲ型防窜低密高强</t>
  </si>
  <si>
    <t>Ⅲ型高温超高密度</t>
  </si>
  <si>
    <t>Ⅲ型超高温防气窜</t>
  </si>
  <si>
    <t>Ⅲ型低温高早强体系</t>
  </si>
  <si>
    <t>Ⅲ型高密度</t>
  </si>
  <si>
    <t>Ⅲ型水基加强型</t>
  </si>
  <si>
    <t>Ⅲ型油基加强型</t>
  </si>
  <si>
    <t>Ⅳ型高温\高承压低密高强</t>
  </si>
  <si>
    <t>IV型非功能型</t>
  </si>
  <si>
    <t xml:space="preserve">            油田化学事业部塘沽作业公司</t>
  </si>
  <si>
    <t>client</t>
  </si>
  <si>
    <t>有限公司</t>
  </si>
  <si>
    <t>manager</t>
  </si>
  <si>
    <t>淳于家兴</t>
  </si>
  <si>
    <t>开发井</t>
  </si>
  <si>
    <t>well type</t>
  </si>
  <si>
    <t>定向井</t>
  </si>
  <si>
    <t>固   井   服   务   确   认   单</t>
  </si>
  <si>
    <t>risk</t>
  </si>
  <si>
    <t>三类</t>
  </si>
  <si>
    <t>important type</t>
  </si>
  <si>
    <t>常规井</t>
  </si>
  <si>
    <t>CEMENTING SERVICE CONFIRMATION</t>
  </si>
  <si>
    <t>deep</t>
  </si>
  <si>
    <t>tvd</t>
  </si>
  <si>
    <t>well</t>
  </si>
  <si>
    <t>BZ19-6-C19</t>
  </si>
  <si>
    <t>system</t>
  </si>
  <si>
    <t>20"</t>
  </si>
  <si>
    <r>
      <rPr>
        <sz val="14"/>
        <rFont val="Arial"/>
      </rPr>
      <t xml:space="preserve">Item  </t>
    </r>
    <r>
      <rPr>
        <sz val="14"/>
        <rFont val="宋体"/>
        <charset val="134"/>
      </rPr>
      <t>序号</t>
    </r>
  </si>
  <si>
    <r>
      <rPr>
        <sz val="14"/>
        <rFont val="Arial"/>
      </rPr>
      <t xml:space="preserve">Description                                                                </t>
    </r>
    <r>
      <rPr>
        <sz val="14"/>
        <rFont val="宋体"/>
      </rPr>
      <t>项目明细</t>
    </r>
  </si>
  <si>
    <r>
      <rPr>
        <sz val="14"/>
        <rFont val="Arial"/>
      </rPr>
      <t xml:space="preserve">Consumption                            </t>
    </r>
    <r>
      <rPr>
        <sz val="14"/>
        <rFont val="宋体"/>
        <charset val="134"/>
      </rPr>
      <t>本次服务消耗量</t>
    </r>
  </si>
  <si>
    <r>
      <rPr>
        <sz val="14"/>
        <rFont val="Arial"/>
      </rPr>
      <t xml:space="preserve">Unit                    </t>
    </r>
    <r>
      <rPr>
        <sz val="14"/>
        <rFont val="宋体"/>
        <charset val="134"/>
      </rPr>
      <t>单位</t>
    </r>
  </si>
  <si>
    <r>
      <rPr>
        <sz val="14"/>
        <rFont val="Arial"/>
      </rPr>
      <t xml:space="preserve">Item         </t>
    </r>
    <r>
      <rPr>
        <sz val="14"/>
        <rFont val="宋体"/>
        <charset val="134"/>
      </rPr>
      <t>序号</t>
    </r>
  </si>
  <si>
    <r>
      <rPr>
        <sz val="14"/>
        <rFont val="Arial"/>
      </rPr>
      <t xml:space="preserve">Description 
</t>
    </r>
    <r>
      <rPr>
        <sz val="14"/>
        <rFont val="宋体"/>
        <charset val="134"/>
      </rPr>
      <t>项目明细</t>
    </r>
  </si>
  <si>
    <r>
      <rPr>
        <sz val="14"/>
        <rFont val="Arial"/>
      </rPr>
      <t xml:space="preserve">Consumption                     </t>
    </r>
    <r>
      <rPr>
        <sz val="14"/>
        <rFont val="宋体"/>
        <charset val="134"/>
      </rPr>
      <t>本次服务消耗量</t>
    </r>
  </si>
  <si>
    <r>
      <rPr>
        <sz val="14"/>
        <rFont val="Arial"/>
      </rPr>
      <t xml:space="preserve">Unit                     </t>
    </r>
    <r>
      <rPr>
        <sz val="12"/>
        <rFont val="宋体"/>
        <charset val="134"/>
      </rPr>
      <t>单位</t>
    </r>
  </si>
  <si>
    <r>
      <rPr>
        <sz val="14"/>
        <rFont val="宋体"/>
      </rPr>
      <t>材料</t>
    </r>
    <r>
      <rPr>
        <sz val="14"/>
        <rFont val="Arial"/>
      </rPr>
      <t>1</t>
    </r>
  </si>
  <si>
    <r>
      <rPr>
        <sz val="14"/>
        <rFont val="宋体"/>
      </rPr>
      <t>套管附件</t>
    </r>
    <r>
      <rPr>
        <sz val="14"/>
        <rFont val="Arial"/>
      </rPr>
      <t>2</t>
    </r>
  </si>
  <si>
    <r>
      <rPr>
        <sz val="14"/>
        <rFont val="宋体"/>
      </rPr>
      <t>材料</t>
    </r>
    <r>
      <rPr>
        <sz val="14"/>
        <rFont val="Arial"/>
      </rPr>
      <t>6</t>
    </r>
  </si>
  <si>
    <r>
      <rPr>
        <sz val="14"/>
        <rFont val="宋体"/>
      </rPr>
      <t>材料</t>
    </r>
    <r>
      <rPr>
        <sz val="14"/>
        <rFont val="Arial"/>
      </rPr>
      <t>7</t>
    </r>
  </si>
  <si>
    <r>
      <rPr>
        <sz val="14"/>
        <rFont val="宋体"/>
      </rPr>
      <t>材料</t>
    </r>
    <r>
      <rPr>
        <sz val="14"/>
        <rFont val="Arial"/>
      </rPr>
      <t>9</t>
    </r>
  </si>
  <si>
    <r>
      <rPr>
        <sz val="14"/>
        <rFont val="宋体"/>
      </rPr>
      <t>材料</t>
    </r>
    <r>
      <rPr>
        <sz val="14"/>
        <rFont val="Arial"/>
      </rPr>
      <t>12</t>
    </r>
  </si>
  <si>
    <r>
      <rPr>
        <sz val="14"/>
        <rFont val="Arial"/>
      </rPr>
      <t xml:space="preserve">Description                                                                </t>
    </r>
    <r>
      <rPr>
        <sz val="12"/>
        <rFont val="宋体"/>
        <charset val="134"/>
      </rPr>
      <t>项目明细</t>
    </r>
  </si>
  <si>
    <r>
      <rPr>
        <sz val="12"/>
        <rFont val="Arial"/>
      </rPr>
      <t xml:space="preserve">Service  Quantity           </t>
    </r>
    <r>
      <rPr>
        <sz val="12"/>
        <rFont val="宋体"/>
        <charset val="134"/>
      </rPr>
      <t>服务次数</t>
    </r>
  </si>
  <si>
    <r>
      <rPr>
        <sz val="14"/>
        <rFont val="Arial"/>
      </rPr>
      <t xml:space="preserve">Unit                    </t>
    </r>
    <r>
      <rPr>
        <sz val="12"/>
        <rFont val="宋体"/>
        <charset val="134"/>
      </rPr>
      <t>单位</t>
    </r>
  </si>
  <si>
    <r>
      <rPr>
        <sz val="14"/>
        <rFont val="Arial"/>
      </rPr>
      <t xml:space="preserve">Item         </t>
    </r>
    <r>
      <rPr>
        <sz val="12"/>
        <rFont val="宋体"/>
        <charset val="134"/>
      </rPr>
      <t>序号</t>
    </r>
  </si>
  <si>
    <r>
      <rPr>
        <sz val="14"/>
        <rFont val="Arial"/>
      </rPr>
      <t xml:space="preserve">Description
 </t>
    </r>
    <r>
      <rPr>
        <sz val="12"/>
        <rFont val="宋体"/>
        <charset val="134"/>
      </rPr>
      <t>项目明细</t>
    </r>
  </si>
  <si>
    <t>开始时间</t>
  </si>
  <si>
    <t>结束时间</t>
  </si>
  <si>
    <t>数量（或次数）</t>
  </si>
  <si>
    <r>
      <rPr>
        <sz val="12"/>
        <rFont val="宋体"/>
        <charset val="134"/>
      </rPr>
      <t>注：</t>
    </r>
    <r>
      <rPr>
        <sz val="12"/>
        <rFont val="Times New Roman"/>
      </rPr>
      <t xml:space="preserve"> </t>
    </r>
    <r>
      <rPr>
        <sz val="12"/>
        <rFont val="宋体"/>
        <charset val="134"/>
      </rPr>
      <t>每次固井服务后，由驻井固井工程师</t>
    </r>
    <r>
      <rPr>
        <sz val="12"/>
        <rFont val="Times New Roman"/>
      </rPr>
      <t>//</t>
    </r>
    <r>
      <rPr>
        <sz val="12"/>
        <rFont val="宋体"/>
        <charset val="134"/>
      </rPr>
      <t>主操填写，并由钻井监督签字认可后，传真回基地。</t>
    </r>
  </si>
  <si>
    <t>REGISRATION FORM OF CHINA OILFIELD SERVICES LTD,TIANJIN</t>
  </si>
  <si>
    <t>中海油田服务股份有限公司天津分公司作业收费单明细</t>
  </si>
  <si>
    <t>客户</t>
  </si>
  <si>
    <t>作业项目</t>
  </si>
  <si>
    <t>套管层次</t>
  </si>
  <si>
    <t>依据合同款项</t>
  </si>
  <si>
    <r>
      <rPr>
        <sz val="8"/>
        <rFont val="Arial"/>
      </rPr>
      <t xml:space="preserve">ITEM    </t>
    </r>
    <r>
      <rPr>
        <sz val="8"/>
        <rFont val="宋体"/>
        <charset val="134"/>
      </rPr>
      <t>序号</t>
    </r>
  </si>
  <si>
    <r>
      <rPr>
        <sz val="8"/>
        <rFont val="Arial"/>
      </rPr>
      <t xml:space="preserve">TIME          </t>
    </r>
    <r>
      <rPr>
        <sz val="8"/>
        <rFont val="宋体"/>
        <charset val="134"/>
      </rPr>
      <t>时间</t>
    </r>
  </si>
  <si>
    <r>
      <rPr>
        <sz val="8"/>
        <rFont val="Arial"/>
      </rPr>
      <t xml:space="preserve">SERVICE DESCRIPTION </t>
    </r>
    <r>
      <rPr>
        <sz val="8"/>
        <rFont val="宋体"/>
        <charset val="134"/>
      </rPr>
      <t>服务内容</t>
    </r>
  </si>
  <si>
    <r>
      <rPr>
        <sz val="8"/>
        <rFont val="Arial"/>
      </rPr>
      <t xml:space="preserve">SERVICE CHARGE </t>
    </r>
    <r>
      <rPr>
        <sz val="8"/>
        <rFont val="宋体"/>
        <charset val="134"/>
      </rPr>
      <t>服务费明细</t>
    </r>
  </si>
  <si>
    <r>
      <rPr>
        <sz val="8"/>
        <rFont val="宋体"/>
        <charset val="134"/>
      </rPr>
      <t>页数</t>
    </r>
    <r>
      <rPr>
        <sz val="8"/>
        <rFont val="Arial"/>
      </rPr>
      <t>.</t>
    </r>
    <r>
      <rPr>
        <sz val="8"/>
        <rFont val="宋体"/>
        <charset val="134"/>
      </rPr>
      <t>款项条目</t>
    </r>
  </si>
  <si>
    <t>起止时间</t>
  </si>
  <si>
    <t>终止时间</t>
  </si>
  <si>
    <r>
      <rPr>
        <sz val="8"/>
        <rFont val="Arial"/>
      </rPr>
      <t xml:space="preserve">QTY </t>
    </r>
    <r>
      <rPr>
        <sz val="8"/>
        <rFont val="宋体"/>
        <charset val="134"/>
      </rPr>
      <t>数量</t>
    </r>
  </si>
  <si>
    <r>
      <rPr>
        <sz val="8"/>
        <rFont val="Arial"/>
      </rPr>
      <t xml:space="preserve">UNIT </t>
    </r>
    <r>
      <rPr>
        <sz val="8"/>
        <rFont val="宋体"/>
        <charset val="134"/>
      </rPr>
      <t>单位</t>
    </r>
  </si>
  <si>
    <r>
      <rPr>
        <sz val="8"/>
        <rFont val="Arial"/>
      </rPr>
      <t xml:space="preserve">PRICE </t>
    </r>
    <r>
      <rPr>
        <sz val="8"/>
        <rFont val="宋体"/>
        <charset val="134"/>
      </rPr>
      <t>单价</t>
    </r>
    <r>
      <rPr>
        <sz val="8"/>
        <rFont val="Arial"/>
      </rPr>
      <t xml:space="preserve"> (</t>
    </r>
    <r>
      <rPr>
        <sz val="8"/>
        <rFont val="宋体"/>
        <charset val="134"/>
      </rPr>
      <t>元</t>
    </r>
    <r>
      <rPr>
        <sz val="8"/>
        <rFont val="Arial"/>
      </rPr>
      <t>)</t>
    </r>
  </si>
  <si>
    <r>
      <rPr>
        <sz val="8"/>
        <rFont val="Arial"/>
      </rPr>
      <t xml:space="preserve">AMOUNT </t>
    </r>
    <r>
      <rPr>
        <sz val="8"/>
        <rFont val="宋体"/>
        <charset val="134"/>
      </rPr>
      <t>金额</t>
    </r>
    <r>
      <rPr>
        <sz val="8"/>
        <rFont val="Arial"/>
      </rPr>
      <t xml:space="preserve"> (</t>
    </r>
    <r>
      <rPr>
        <sz val="8"/>
        <rFont val="宋体"/>
        <charset val="134"/>
      </rPr>
      <t>元</t>
    </r>
    <r>
      <rPr>
        <sz val="8"/>
        <rFont val="Arial"/>
      </rPr>
      <t>)</t>
    </r>
  </si>
  <si>
    <t/>
  </si>
  <si>
    <t>净价页计（95%）</t>
  </si>
  <si>
    <t>净价合计</t>
  </si>
  <si>
    <t>井号</t>
  </si>
  <si>
    <t>平台</t>
  </si>
  <si>
    <t>层次</t>
  </si>
  <si>
    <t>开始</t>
  </si>
  <si>
    <t>结束</t>
  </si>
  <si>
    <t>T</t>
  </si>
  <si>
    <t>S</t>
  </si>
  <si>
    <t>M</t>
  </si>
  <si>
    <t>台账</t>
  </si>
  <si>
    <t>PC-GasSeal防气窜水泥浆体系Ⅳ非功能型型</t>
  </si>
  <si>
    <t>PC-LoCEM高早强水泥浆体系Ⅲ型低温高早强体系</t>
  </si>
  <si>
    <t>PC-LoPSD低密高强水泥浆体系Ⅱ型常规低密高强</t>
  </si>
  <si>
    <t>PC-BENOCEM 早强水泥浆体系II型常温</t>
  </si>
  <si>
    <t>PC-Spacer隔离液体系Ⅰ型常规隔离液体系</t>
  </si>
  <si>
    <t>PC-Flusher（WBM)水基冲洗液体系Ⅰ型水基普通型</t>
  </si>
  <si>
    <t>附件</t>
  </si>
  <si>
    <t>服务</t>
  </si>
  <si>
    <t>体系</t>
  </si>
  <si>
    <t>其他</t>
  </si>
  <si>
    <t>公式</t>
  </si>
  <si>
    <t>手动粘贴数值</t>
  </si>
  <si>
    <t>中海油田服务股份有限公司天津分公司服务收费单</t>
  </si>
  <si>
    <t>甲方合同号</t>
  </si>
  <si>
    <t>承包商</t>
  </si>
  <si>
    <t>电话</t>
  </si>
  <si>
    <t>工程技术作业中心</t>
  </si>
  <si>
    <t>中海油服油化固井</t>
  </si>
  <si>
    <t>022-59551678</t>
  </si>
  <si>
    <t>曹妃甸作业公司</t>
  </si>
  <si>
    <r>
      <rPr>
        <sz val="11"/>
        <rFont val="宋体"/>
        <charset val="134"/>
      </rPr>
      <t>序号</t>
    </r>
  </si>
  <si>
    <t>井名</t>
  </si>
  <si>
    <t>收费层次</t>
  </si>
  <si>
    <t>单井含税总额（元）</t>
  </si>
  <si>
    <t>单井净价总额（元）</t>
  </si>
  <si>
    <t>固井技术服务     含税总价（元）</t>
  </si>
  <si>
    <t>固井技术服务      净价（元）</t>
  </si>
  <si>
    <t>固井其他          含税总价（元）</t>
  </si>
  <si>
    <t>固井其他             净价（元）</t>
  </si>
  <si>
    <t>(甲方）审核人：</t>
  </si>
  <si>
    <t>CCL2023TJC0YST0185</t>
  </si>
  <si>
    <t>CCL2023TJC0YST0181</t>
  </si>
  <si>
    <r>
      <rPr>
        <sz val="12"/>
        <rFont val="Arial"/>
      </rPr>
      <t>='</t>
    </r>
    <r>
      <rPr>
        <sz val="12"/>
        <rFont val="宋体"/>
        <charset val="134"/>
      </rPr>
      <t>电子版收费单</t>
    </r>
    <r>
      <rPr>
        <sz val="12"/>
        <rFont val="Arial"/>
      </rPr>
      <t xml:space="preserve"> (1)'!I4</t>
    </r>
  </si>
  <si>
    <t>='电子版收费单 (2)'!I4</t>
  </si>
  <si>
    <t>='电子版收费单 (3)'!I4</t>
  </si>
  <si>
    <t>(甲方)项目经理/(甲方)区域经理：</t>
  </si>
  <si>
    <t>='电子版收费单 (4)'!I4</t>
  </si>
  <si>
    <t>='电子版收费单 (5)'!I4</t>
  </si>
  <si>
    <t>(乙方）经办人：</t>
  </si>
  <si>
    <t>(乙方）负责人：</t>
  </si>
  <si>
    <t>工作量和费用明细详见附件</t>
  </si>
  <si>
    <t>合计</t>
  </si>
  <si>
    <t>税额</t>
  </si>
  <si>
    <t>因绩效，实收</t>
  </si>
  <si>
    <t>增值税发票开票申请单</t>
  </si>
  <si>
    <t>税目</t>
  </si>
  <si>
    <t>开票项目</t>
  </si>
  <si>
    <t>税率</t>
  </si>
  <si>
    <t>COSL钻井事业部</t>
  </si>
  <si>
    <t>申请单位:</t>
  </si>
  <si>
    <t>COSL油化事业部</t>
  </si>
  <si>
    <t>申请日期：</t>
  </si>
  <si>
    <t>研发和技术服务</t>
  </si>
  <si>
    <t>海洋石油技术服务费</t>
  </si>
  <si>
    <t>COSL船舶事业部</t>
  </si>
  <si>
    <t>发票种类</t>
  </si>
  <si>
    <t>增值税专用发票（ ） 增值税普通发票（√ ）</t>
  </si>
  <si>
    <t>非SD集成(</t>
  </si>
  <si>
    <t>)</t>
  </si>
  <si>
    <t xml:space="preserve"> SD集成</t>
  </si>
  <si>
    <t>关联方接受组织</t>
  </si>
  <si>
    <t>接收人</t>
  </si>
  <si>
    <t>测井技术服务费</t>
  </si>
  <si>
    <t>COSL物探事业部</t>
  </si>
  <si>
    <t>审批单类型</t>
  </si>
  <si>
    <t>会计</t>
  </si>
  <si>
    <t>项目名称</t>
  </si>
  <si>
    <t>渤海海域</t>
  </si>
  <si>
    <t>合同编号</t>
  </si>
  <si>
    <t>合同金额</t>
  </si>
  <si>
    <t>本次开票金额</t>
  </si>
  <si>
    <t>支持船服务</t>
  </si>
  <si>
    <t>COSL油生事业部</t>
  </si>
  <si>
    <t>请选择井型</t>
  </si>
  <si>
    <t>P：调整井</t>
  </si>
  <si>
    <t>曹妃甸</t>
  </si>
  <si>
    <t>E：勘探井</t>
  </si>
  <si>
    <t>李薇</t>
  </si>
  <si>
    <t>支持文件</t>
  </si>
  <si>
    <t>合同、工作量确认</t>
  </si>
  <si>
    <t>币种</t>
  </si>
  <si>
    <t>人民币</t>
  </si>
  <si>
    <t>海上船舶作业服务费</t>
  </si>
  <si>
    <t>蔡海英</t>
  </si>
  <si>
    <t>开票信息</t>
  </si>
  <si>
    <t>客 户 名 称</t>
  </si>
  <si>
    <t>中海石油（中国）有限公司曹妃甸作业公司</t>
  </si>
  <si>
    <t>工程勘察勘探服务</t>
  </si>
  <si>
    <t>COSL油技事业部</t>
  </si>
  <si>
    <t>纳税人识别号</t>
  </si>
  <si>
    <t>91120000717833878E</t>
  </si>
  <si>
    <t>技术服务费</t>
  </si>
  <si>
    <t>COSL天津分公司</t>
  </si>
  <si>
    <t>地 址、电 话</t>
  </si>
  <si>
    <t>中国天津市滨海新区海川路2121号渤海石油管理局大厦A座1206    66501926</t>
  </si>
  <si>
    <t>现代服务</t>
  </si>
  <si>
    <t>设施管理服务费</t>
  </si>
  <si>
    <t>开户行及账号</t>
  </si>
  <si>
    <t>中国工商银行天津南疆支行  人民币帐号：0302016609300111144   行号 102110001036</t>
  </si>
  <si>
    <t>第三方审核服务</t>
  </si>
  <si>
    <t>票据内容（货物或应税劳务名称）</t>
  </si>
  <si>
    <t>规格型号</t>
  </si>
  <si>
    <t>单位</t>
  </si>
  <si>
    <t>数量</t>
  </si>
  <si>
    <t>单价</t>
  </si>
  <si>
    <t>金额</t>
  </si>
  <si>
    <t>价税合计</t>
  </si>
  <si>
    <t>备注</t>
  </si>
  <si>
    <t>岸基支持服务费</t>
  </si>
  <si>
    <t>建筑服务</t>
  </si>
  <si>
    <t>固井作业费</t>
  </si>
  <si>
    <t>人力资源服务</t>
  </si>
  <si>
    <t>人员服务费</t>
  </si>
  <si>
    <t>经纪代理服务</t>
  </si>
  <si>
    <t>代理服务费</t>
  </si>
  <si>
    <t>信息技术服务</t>
  </si>
  <si>
    <t>地震资料数据处理技术服务</t>
  </si>
  <si>
    <t>开票审批
(签名+日期)</t>
  </si>
  <si>
    <t>申请单位业务部门经理</t>
  </si>
  <si>
    <t>申请单位经办人及电话</t>
  </si>
  <si>
    <t>申请单位财务质量控制人员</t>
  </si>
  <si>
    <t>区域财税收入会计核算岗</t>
  </si>
  <si>
    <t>钻井作业费</t>
  </si>
  <si>
    <t>区域财税发票复核人</t>
  </si>
  <si>
    <t>区域财税税务岗开票人</t>
  </si>
  <si>
    <t>桩基工程服务</t>
  </si>
  <si>
    <t>备注：请经办人员清晰、正确填写，不得涂改。开票附件包括但不限于：合同/协议、完工报告，收费确认单据等。</t>
  </si>
  <si>
    <t>经营租赁</t>
  </si>
  <si>
    <t>614船租赁</t>
  </si>
  <si>
    <t>有形动产租赁</t>
  </si>
  <si>
    <t>钻具租赁</t>
  </si>
  <si>
    <t>设备租赁</t>
  </si>
  <si>
    <t>劳务</t>
  </si>
  <si>
    <t>修理修配劳务</t>
  </si>
  <si>
    <t>丁萌</t>
  </si>
  <si>
    <t>中海石油（中国）有限公司秦皇岛32-6作业公司</t>
  </si>
  <si>
    <t>911200007109239936</t>
  </si>
  <si>
    <t>天津市滨海高新区塘沽海洋科技园海川路2121号-C 022-66501789</t>
  </si>
  <si>
    <t>中国工商银行天津保税区分行南疆支行 0302016629300057480</t>
  </si>
  <si>
    <t>GGG</t>
  </si>
  <si>
    <t>申请单位业务经办人及电话</t>
  </si>
  <si>
    <t>中国海洋石油集团有限公司关联单位预提确认单</t>
  </si>
  <si>
    <t>日期:</t>
  </si>
  <si>
    <t>项目主要信息</t>
  </si>
  <si>
    <t>甲方名称</t>
  </si>
  <si>
    <t>乙方名称</t>
  </si>
  <si>
    <t>中海油田服务股份有限公司油田化学事业部</t>
  </si>
  <si>
    <t>开工日期</t>
  </si>
  <si>
    <t>合 同 号</t>
  </si>
  <si>
    <t>中海石油（中国）有限公司渤中作业公司</t>
  </si>
  <si>
    <t>预提信息</t>
  </si>
  <si>
    <t>会计年度</t>
  </si>
  <si>
    <t>2023年</t>
  </si>
  <si>
    <t>会计期间</t>
  </si>
  <si>
    <t>中海石油（中国）有限公司天津分公司</t>
  </si>
  <si>
    <t>甲方</t>
  </si>
  <si>
    <t>预提依据</t>
  </si>
  <si>
    <t>完工报告、合同</t>
  </si>
  <si>
    <t>乙方</t>
  </si>
  <si>
    <r>
      <rPr>
        <sz val="12"/>
        <rFont val="宋体"/>
        <charset val="134"/>
      </rPr>
      <t>本年预提
数量</t>
    </r>
    <r>
      <rPr>
        <sz val="12"/>
        <rFont val="宋体"/>
        <charset val="134"/>
      </rPr>
      <t>(</t>
    </r>
    <r>
      <rPr>
        <sz val="12"/>
        <rFont val="宋体"/>
        <charset val="134"/>
      </rPr>
      <t>比例</t>
    </r>
    <r>
      <rPr>
        <sz val="12"/>
        <rFont val="宋体"/>
        <charset val="134"/>
      </rPr>
      <t>)</t>
    </r>
  </si>
  <si>
    <r>
      <rPr>
        <sz val="12"/>
        <rFont val="宋体"/>
        <charset val="134"/>
      </rPr>
      <t>累计预提
数量(比例</t>
    </r>
    <r>
      <rPr>
        <sz val="12"/>
        <rFont val="宋体"/>
        <charset val="134"/>
      </rPr>
      <t>)</t>
    </r>
  </si>
  <si>
    <t>含税</t>
  </si>
  <si>
    <t>净价</t>
  </si>
  <si>
    <t>债务-本年预提金额</t>
  </si>
  <si>
    <t>元</t>
  </si>
  <si>
    <t>债权-本年预提金额</t>
  </si>
  <si>
    <t>购货-本年预提金额</t>
  </si>
  <si>
    <t>销货-本年预提金额</t>
  </si>
  <si>
    <t>所需附件</t>
  </si>
  <si>
    <t>合同价格条款复印件      工作量记录文件      完工进度确认单      其他</t>
  </si>
  <si>
    <t>差异说明</t>
  </si>
  <si>
    <t>乙方实际做账金额为含税金额</t>
  </si>
  <si>
    <t>元，其中销项税</t>
  </si>
  <si>
    <t>元，不含税净价</t>
  </si>
  <si>
    <t>签字确认</t>
  </si>
  <si>
    <t>甲方项目经理
或授权人</t>
  </si>
  <si>
    <r>
      <rPr>
        <sz val="12"/>
        <rFont val="宋体"/>
        <charset val="134"/>
      </rPr>
      <t>乙方</t>
    </r>
    <r>
      <rPr>
        <sz val="12"/>
        <rFont val="宋体"/>
        <charset val="134"/>
      </rPr>
      <t>项目经理
或授权人</t>
    </r>
  </si>
  <si>
    <t>注：</t>
  </si>
  <si>
    <t>1.本预提确认单适用于海总系统内单位间互相预估收入、预提成本确认使用。</t>
  </si>
  <si>
    <t>2.双方预提依据必须保持一致，按成本支出比例确认项目完工进度的工程服务除外</t>
  </si>
  <si>
    <t>3.双方对预估工作、金额存在争议，且无法通过沟通最终达成一致的，将差异金额及原因填入“差异说明”栏，并向总公司提交相关证据材料</t>
  </si>
  <si>
    <t>4.本预提单仅为关联双方对实际发生工作量的确认依据,不能被视为对相应债权债务的认可</t>
  </si>
  <si>
    <t>5.本预提单一式两份，双方签字确认后，提交双方财务部门入账处理</t>
  </si>
  <si>
    <t>6.甲方、乙方名称均为单位全称，与关联交易名录中单位名称一致</t>
  </si>
  <si>
    <t>basic</t>
  </si>
  <si>
    <t>well class</t>
  </si>
  <si>
    <t>其他技术服务-other technical services</t>
  </si>
  <si>
    <t>套管附件-casing accessories</t>
  </si>
  <si>
    <t>设备工具服务操作-equipment tools service operations</t>
  </si>
  <si>
    <t>固井技术服务-cementing technology services</t>
  </si>
  <si>
    <t>other technical services</t>
  </si>
  <si>
    <t>casing accessories</t>
  </si>
  <si>
    <t>cementing services</t>
  </si>
  <si>
    <t>equipment tool service operations</t>
  </si>
  <si>
    <r>
      <t>材料</t>
    </r>
    <r>
      <rPr>
        <sz val="14"/>
        <rFont val="Arial"/>
      </rPr>
      <t>13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</si>
</sst>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 * #,##0.00_ ;_ * \-#,##0.00_ ;_ * &quot;-&quot;??_ ;_ @_ "/>
    <numFmt numFmtId="165" formatCode="_ &quot;￥&quot;* #,##0.00_ ;_ &quot;￥&quot;* \-#,##0.00_ ;_ &quot;￥&quot;* &quot;-&quot;??_ ;_ @_ "/>
    <numFmt numFmtId="166" formatCode="yyyy/m/d;@"/>
    <numFmt numFmtId="167" formatCode="0_ "/>
    <numFmt numFmtId="168" formatCode="_(&quot;￥&quot;* #,##0.00_);_(&quot;￥&quot;* \(#,##0.00\);_(&quot;￥&quot;* &quot;-&quot;??_);_(@_)"/>
    <numFmt numFmtId="169" formatCode="_-* #,##0_-;\-* #,##0_-;_-* &quot;-&quot;_-;_-@_-"/>
    <numFmt numFmtId="170" formatCode="#,##0.000;[Red]\-#,##0.000"/>
    <numFmt numFmtId="171" formatCode="_-&quot;$&quot;* #,##0.00_-;\-&quot;$&quot;* #,##0.00_-;_-&quot;$&quot;* &quot;-&quot;??_-;_-@_-"/>
    <numFmt numFmtId="172" formatCode="0.0&quot;  &quot;"/>
    <numFmt numFmtId="173" formatCode="#,##0;[Red]\(#,##0\)"/>
    <numFmt numFmtId="174" formatCode="\1\0\/\1\7"/>
    <numFmt numFmtId="175" formatCode="_-* #,##0.00_-;\-* #,##0.00_-;_-* &quot;-&quot;??_-;_-@_-"/>
    <numFmt numFmtId="176" formatCode="0_)"/>
    <numFmt numFmtId="177" formatCode="0.00_)"/>
    <numFmt numFmtId="178" formatCode="0.00_ "/>
    <numFmt numFmtId="179" formatCode="0.000&quot;  &quot;"/>
    <numFmt numFmtId="180" formatCode="_ * #,##0.000_ ;_ * \-#,##0.000_ ;_ * &quot;-&quot;??_ ;_ @_ "/>
    <numFmt numFmtId="181" formatCode="#,##0.00_ "/>
    <numFmt numFmtId="182" formatCode="#,##0_ "/>
    <numFmt numFmtId="183" formatCode="0.000_ "/>
    <numFmt numFmtId="184" formatCode="0.00_);[Red]\(0.00\)"/>
    <numFmt numFmtId="185" formatCode="0.000_);[Red]\(0.000\)"/>
    <numFmt numFmtId="186" formatCode="[$-409]d/mmm/yy;@"/>
    <numFmt numFmtId="187" formatCode="0;_렀"/>
  </numFmts>
  <fonts count="75">
    <font>
      <sz val="12"/>
      <name val="宋体"/>
      <charset val="134"/>
    </font>
    <font>
      <sz val="10"/>
      <name val="宋体"/>
      <charset val="134"/>
    </font>
    <font>
      <sz val="11"/>
      <name val="宋体"/>
      <charset val="134"/>
    </font>
    <font>
      <b/>
      <sz val="18"/>
      <name val="宋体"/>
      <charset val="134"/>
    </font>
    <font>
      <b/>
      <sz val="12"/>
      <name val="宋体"/>
      <charset val="134"/>
    </font>
    <font>
      <b/>
      <sz val="11"/>
      <name val="宋体"/>
      <charset val="134"/>
    </font>
    <font>
      <b/>
      <sz val="10.5"/>
      <color rgb="FFFF0000"/>
      <name val="等线"/>
      <charset val="134"/>
    </font>
    <font>
      <sz val="18"/>
      <name val="宋体"/>
      <charset val="134"/>
    </font>
    <font>
      <sz val="18"/>
      <name val="Calibri"/>
      <charset val="134"/>
      <scheme val="minor"/>
    </font>
    <font>
      <sz val="18"/>
      <color theme="1"/>
      <name val="Calibri"/>
      <charset val="134"/>
      <scheme val="minor"/>
    </font>
    <font>
      <b/>
      <sz val="24"/>
      <name val="华文楷体"/>
      <charset val="134"/>
    </font>
    <font>
      <sz val="24"/>
      <name val="华文楷体"/>
      <charset val="134"/>
    </font>
    <font>
      <b/>
      <sz val="24"/>
      <name val="Cambria"/>
      <charset val="134"/>
      <scheme val="major"/>
    </font>
    <font>
      <b/>
      <sz val="24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8"/>
      <name val="华文楷体"/>
      <charset val="134"/>
    </font>
    <font>
      <sz val="24"/>
      <name val="宋体"/>
      <charset val="134"/>
    </font>
    <font>
      <sz val="24"/>
      <name val="Calibri"/>
      <charset val="134"/>
      <scheme val="minor"/>
    </font>
    <font>
      <sz val="24"/>
      <color theme="1"/>
      <name val="Calibri"/>
      <charset val="134"/>
      <scheme val="minor"/>
    </font>
    <font>
      <b/>
      <sz val="26"/>
      <name val="华文楷体"/>
      <charset val="134"/>
    </font>
    <font>
      <b/>
      <sz val="24"/>
      <color theme="1"/>
      <name val="Calibri"/>
      <charset val="134"/>
      <scheme val="minor"/>
    </font>
    <font>
      <b/>
      <sz val="24"/>
      <color theme="1"/>
      <name val="微软雅黑"/>
      <charset val="134"/>
    </font>
    <font>
      <sz val="24"/>
      <color theme="1"/>
      <name val="微软雅黑"/>
      <charset val="134"/>
    </font>
    <font>
      <sz val="12"/>
      <name val="Arial"/>
    </font>
    <font>
      <sz val="16"/>
      <name val="Arial"/>
    </font>
    <font>
      <sz val="11"/>
      <color indexed="8"/>
      <name val="宋体"/>
      <charset val="134"/>
    </font>
    <font>
      <sz val="22"/>
      <name val="Arial"/>
    </font>
    <font>
      <sz val="11"/>
      <name val="Arial"/>
    </font>
    <font>
      <sz val="11"/>
      <color theme="1"/>
      <name val="Arial"/>
    </font>
    <font>
      <b/>
      <sz val="11"/>
      <name val="Arial"/>
    </font>
    <font>
      <sz val="9"/>
      <name val="Arial"/>
    </font>
    <font>
      <sz val="8"/>
      <name val="Arial"/>
    </font>
    <font>
      <sz val="16"/>
      <name val="宋体"/>
      <charset val="134"/>
    </font>
    <font>
      <sz val="18"/>
      <name val="Arial"/>
    </font>
    <font>
      <sz val="9"/>
      <name val="宋体"/>
      <charset val="134"/>
    </font>
    <font>
      <sz val="8"/>
      <name val="宋体"/>
      <charset val="134"/>
    </font>
    <font>
      <b/>
      <sz val="10"/>
      <name val="宋体"/>
      <charset val="134"/>
    </font>
    <font>
      <b/>
      <sz val="10"/>
      <name val="Arial"/>
    </font>
    <font>
      <sz val="10"/>
      <name val="Arial"/>
    </font>
    <font>
      <sz val="20"/>
      <name val="宋体"/>
      <charset val="134"/>
    </font>
    <font>
      <sz val="14"/>
      <name val="宋体"/>
      <charset val="134"/>
    </font>
    <font>
      <sz val="14"/>
      <name val="Arial"/>
    </font>
    <font>
      <sz val="12"/>
      <color indexed="12"/>
      <name val="Arial"/>
    </font>
    <font>
      <b/>
      <sz val="26"/>
      <color indexed="12"/>
      <name val="黑体"/>
      <charset val="134"/>
    </font>
    <font>
      <b/>
      <sz val="24"/>
      <color indexed="12"/>
      <name val="Arial"/>
    </font>
    <font>
      <sz val="24"/>
      <color indexed="12"/>
      <name val="Arial"/>
    </font>
    <font>
      <sz val="14"/>
      <name val="Cambria"/>
      <charset val="134"/>
      <scheme val="major"/>
    </font>
    <font>
      <sz val="14"/>
      <name val="宋体"/>
    </font>
    <font>
      <b/>
      <sz val="16"/>
      <name val="宋体"/>
      <charset val="134"/>
    </font>
    <font>
      <b/>
      <sz val="16"/>
      <name val="Arial"/>
    </font>
    <font>
      <sz val="22"/>
      <name val="宋体"/>
      <charset val="134"/>
    </font>
    <font>
      <sz val="22"/>
      <color rgb="FFFF0000"/>
      <name val="宋体"/>
      <charset val="134"/>
    </font>
    <font>
      <sz val="12"/>
      <name val="幼圆"/>
      <charset val="134"/>
    </font>
    <font>
      <sz val="14"/>
      <name val="幼圆"/>
      <charset val="134"/>
    </font>
    <font>
      <sz val="22"/>
      <color rgb="FFFF0000"/>
      <name val="幼圆"/>
      <charset val="134"/>
    </font>
    <font>
      <sz val="14"/>
      <color rgb="FFFF0000"/>
      <name val="宋体"/>
      <charset val="134"/>
    </font>
    <font>
      <sz val="12"/>
      <color rgb="FFFF0000"/>
      <name val="宋体"/>
      <charset val="134"/>
    </font>
    <font>
      <b/>
      <sz val="24"/>
      <color rgb="FFFF0000"/>
      <name val="宋体"/>
      <charset val="134"/>
    </font>
    <font>
      <sz val="11"/>
      <color theme="1"/>
      <name val="Calibri"/>
      <charset val="134"/>
      <scheme val="minor"/>
    </font>
    <font>
      <sz val="12"/>
      <name val="Times New Roman"/>
    </font>
    <font>
      <sz val="12"/>
      <color indexed="8"/>
      <name val="Arial"/>
    </font>
    <font>
      <sz val="12"/>
      <color indexed="10"/>
      <name val="Arial"/>
    </font>
    <font>
      <sz val="9"/>
      <name val="Geneva"/>
    </font>
    <font>
      <sz val="8"/>
      <name val="Helvetica"/>
    </font>
    <font>
      <sz val="7"/>
      <color indexed="9"/>
      <name val="Tms Rmn"/>
    </font>
    <font>
      <sz val="10"/>
      <name val="MS Sans Serif"/>
    </font>
    <font>
      <sz val="7"/>
      <name val="Small Fonts"/>
    </font>
    <font>
      <b/>
      <i/>
      <sz val="16"/>
      <name val="Helv"/>
    </font>
    <font>
      <sz val="7"/>
      <name val="Tms Rmn"/>
    </font>
    <font>
      <sz val="10"/>
      <color indexed="8"/>
      <name val="Arial"/>
    </font>
    <font>
      <sz val="10"/>
      <name val="Times New Roman Cyr"/>
      <charset val="134"/>
    </font>
    <font>
      <sz val="12"/>
      <color indexed="8"/>
      <name val="Times New Roman"/>
    </font>
    <font>
      <sz val="10"/>
      <name val="Arial Cyr"/>
      <charset val="134"/>
    </font>
    <font>
      <sz val="10"/>
      <color theme="1"/>
      <name val="Arial"/>
    </font>
    <font>
      <sz val="12"/>
      <name val="宋体"/>
      <charset val="13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2065187536243"/>
        <bgColor theme="5" tint="0.79992065187536243"/>
      </patternFill>
    </fill>
    <fill>
      <patternFill patternType="solid">
        <fgColor rgb="FFFFFF00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gray0625"/>
    </fill>
  </fills>
  <borders count="8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ashed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81">
    <xf numFmtId="0" fontId="0" fillId="0" borderId="0">
      <alignment vertical="center"/>
    </xf>
    <xf numFmtId="165" fontId="59" fillId="0" borderId="0" applyFont="0" applyFill="0" applyBorder="0" applyAlignment="0" applyProtection="0"/>
    <xf numFmtId="9" fontId="74" fillId="0" borderId="0" applyFont="0" applyFill="0" applyBorder="0" applyAlignment="0" applyProtection="0">
      <alignment vertical="center"/>
    </xf>
    <xf numFmtId="0" fontId="60" fillId="0" borderId="0" applyNumberFormat="0" applyFont="0" applyBorder="0" applyAlignment="0"/>
    <xf numFmtId="168" fontId="59" fillId="0" borderId="0" applyFont="0" applyFill="0" applyBorder="0" applyAlignment="0" applyProtection="0"/>
    <xf numFmtId="168" fontId="59" fillId="0" borderId="0" applyFont="0" applyFill="0" applyBorder="0" applyAlignment="0" applyProtection="0"/>
    <xf numFmtId="169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0" fontId="60" fillId="0" borderId="0" applyFont="0" applyBorder="0" applyAlignment="0"/>
    <xf numFmtId="168" fontId="59" fillId="0" borderId="0" applyFont="0" applyFill="0" applyBorder="0" applyAlignment="0" applyProtection="0"/>
    <xf numFmtId="171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0" fontId="61" fillId="0" borderId="0" applyNumberFormat="0" applyFont="0" applyBorder="0" applyAlignment="0"/>
    <xf numFmtId="168" fontId="59" fillId="0" borderId="0" applyFont="0" applyFill="0" applyBorder="0" applyAlignment="0" applyProtection="0"/>
    <xf numFmtId="0" fontId="23" fillId="0" borderId="0" applyNumberFormat="0" applyFont="0" applyBorder="0" applyAlignment="0"/>
    <xf numFmtId="171" fontId="59" fillId="0" borderId="0" applyFont="0" applyFill="0" applyBorder="0" applyAlignment="0" applyProtection="0"/>
    <xf numFmtId="172" fontId="38" fillId="0" borderId="0" applyFont="0" applyFill="0" applyBorder="0" applyAlignment="0" applyProtection="0"/>
    <xf numFmtId="165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8" fontId="59" fillId="0" borderId="0" applyFont="0" applyFill="0" applyBorder="0" applyAlignment="0" applyProtection="0"/>
    <xf numFmtId="171" fontId="59" fillId="0" borderId="0" applyFont="0" applyFill="0" applyBorder="0" applyAlignment="0" applyProtection="0"/>
    <xf numFmtId="171" fontId="59" fillId="0" borderId="0" applyFont="0" applyFill="0" applyBorder="0" applyAlignment="0" applyProtection="0"/>
    <xf numFmtId="174" fontId="62" fillId="0" borderId="42">
      <alignment horizontal="center"/>
      <protection locked="0"/>
    </xf>
    <xf numFmtId="173" fontId="38" fillId="0" borderId="0"/>
    <xf numFmtId="14" fontId="63" fillId="14" borderId="0" applyAlignment="0">
      <alignment horizontal="left"/>
    </xf>
    <xf numFmtId="0" fontId="31" fillId="15" borderId="0" applyNumberFormat="0" applyBorder="0" applyAlignment="0">
      <protection locked="0"/>
    </xf>
    <xf numFmtId="38" fontId="31" fillId="14" borderId="0" applyBorder="0" applyAlignment="0" applyProtection="0"/>
    <xf numFmtId="10" fontId="31" fillId="13" borderId="36" applyBorder="0" applyAlignment="0" applyProtection="0"/>
    <xf numFmtId="0" fontId="64" fillId="0" borderId="86" applyNumberFormat="0" applyBorder="0" applyAlignment="0"/>
    <xf numFmtId="38" fontId="65" fillId="0" borderId="0" applyFont="0" applyFill="0" applyBorder="0" applyAlignment="0" applyProtection="0"/>
    <xf numFmtId="40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74" fillId="0" borderId="0">
      <alignment vertical="center"/>
    </xf>
    <xf numFmtId="8" fontId="65" fillId="0" borderId="0" applyFont="0" applyFill="0" applyBorder="0" applyAlignment="0" applyProtection="0"/>
    <xf numFmtId="37" fontId="66" fillId="0" borderId="0"/>
    <xf numFmtId="177" fontId="67" fillId="0" borderId="0"/>
    <xf numFmtId="43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59" fillId="0" borderId="0" applyNumberFormat="0" applyFont="0" applyAlignment="0"/>
    <xf numFmtId="10" fontId="38" fillId="0" borderId="0" applyFont="0" applyFill="0" applyBorder="0" applyAlignment="0" applyProtection="0"/>
    <xf numFmtId="0" fontId="31" fillId="0" borderId="87" applyNumberFormat="0" applyBorder="0" applyAlignment="0">
      <alignment horizontal="left"/>
      <protection locked="0"/>
    </xf>
    <xf numFmtId="0" fontId="37" fillId="0" borderId="0" applyNumberFormat="0" applyFill="0" applyBorder="0" applyAlignment="0" applyProtection="0"/>
    <xf numFmtId="0" fontId="68" fillId="16" borderId="21" applyNumberFormat="0" applyFont="0" applyBorder="0" applyAlignment="0" applyProtection="0"/>
    <xf numFmtId="0" fontId="74" fillId="0" borderId="0"/>
    <xf numFmtId="176" fontId="69" fillId="0" borderId="42">
      <alignment horizontal="justify" vertical="top" wrapText="1"/>
    </xf>
    <xf numFmtId="0" fontId="68" fillId="0" borderId="86" applyNumberFormat="0" applyBorder="0" applyAlignment="0"/>
    <xf numFmtId="0" fontId="74" fillId="0" borderId="0"/>
    <xf numFmtId="0" fontId="74" fillId="0" borderId="0"/>
    <xf numFmtId="0" fontId="74" fillId="0" borderId="0"/>
    <xf numFmtId="0" fontId="74" fillId="0" borderId="0"/>
    <xf numFmtId="4" fontId="74" fillId="0" borderId="0">
      <alignment vertical="center"/>
    </xf>
    <xf numFmtId="4" fontId="74" fillId="0" borderId="0">
      <alignment vertical="center"/>
    </xf>
    <xf numFmtId="0" fontId="74" fillId="0" borderId="0"/>
    <xf numFmtId="0" fontId="74" fillId="0" borderId="0">
      <alignment vertical="center"/>
    </xf>
    <xf numFmtId="0" fontId="74" fillId="0" borderId="0">
      <alignment vertical="center"/>
    </xf>
    <xf numFmtId="4" fontId="70" fillId="0" borderId="0">
      <alignment vertical="center"/>
    </xf>
    <xf numFmtId="0" fontId="74" fillId="0" borderId="0"/>
    <xf numFmtId="0" fontId="63" fillId="0" borderId="0">
      <alignment vertical="center"/>
    </xf>
    <xf numFmtId="168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79" fontId="38" fillId="0" borderId="0" applyFont="0" applyFill="0" applyBorder="0" applyAlignment="0" applyProtection="0"/>
    <xf numFmtId="0" fontId="59" fillId="0" borderId="0" applyNumberFormat="0" applyFont="0" applyBorder="0" applyAlignment="0"/>
    <xf numFmtId="0" fontId="59" fillId="0" borderId="0" applyFont="0" applyBorder="0" applyAlignment="0"/>
    <xf numFmtId="0" fontId="59" fillId="0" borderId="0" applyNumberFormat="0" applyFont="0" applyAlignment="0"/>
    <xf numFmtId="0" fontId="60" fillId="0" borderId="0" applyNumberFormat="0" applyFont="0" applyBorder="0" applyAlignment="0"/>
    <xf numFmtId="0" fontId="59" fillId="0" borderId="0" applyFont="0" applyAlignment="0"/>
    <xf numFmtId="0" fontId="60" fillId="0" borderId="0" applyNumberFormat="0" applyFont="0" applyBorder="0" applyAlignment="0"/>
    <xf numFmtId="0" fontId="60" fillId="0" borderId="0" applyFont="0" applyBorder="0" applyAlignment="0"/>
    <xf numFmtId="0" fontId="60" fillId="0" borderId="0" applyNumberFormat="0" applyFont="0" applyBorder="0" applyAlignment="0" applyProtection="0"/>
    <xf numFmtId="0" fontId="60" fillId="0" borderId="0" applyNumberFormat="0" applyFont="0" applyBorder="0" applyAlignment="0"/>
    <xf numFmtId="0" fontId="60" fillId="0" borderId="0" applyNumberFormat="0" applyFont="0" applyBorder="0" applyAlignment="0"/>
    <xf numFmtId="0" fontId="71" fillId="0" borderId="0" applyNumberFormat="0" applyFont="0" applyBorder="0" applyAlignment="0"/>
    <xf numFmtId="41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175" fontId="59" fillId="0" borderId="0" applyFont="0" applyFill="0" applyBorder="0" applyAlignment="0" applyProtection="0"/>
    <xf numFmtId="0" fontId="72" fillId="0" borderId="0"/>
    <xf numFmtId="4" fontId="70" fillId="0" borderId="0">
      <alignment vertical="center"/>
    </xf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58" fillId="0" borderId="0">
      <alignment vertical="center"/>
    </xf>
    <xf numFmtId="0" fontId="73" fillId="0" borderId="0"/>
  </cellStyleXfs>
  <cellXfs count="52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6" xfId="0" applyBorder="1" applyAlignment="1">
      <alignment vertical="center" wrapText="1"/>
    </xf>
    <xf numFmtId="0" fontId="0" fillId="0" borderId="11" xfId="0" applyBorder="1" applyAlignment="1">
      <alignment horizontal="left" vertical="center"/>
    </xf>
    <xf numFmtId="178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178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1" xfId="0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6" fillId="0" borderId="0" xfId="0" applyFont="1">
      <alignment vertical="center"/>
    </xf>
    <xf numFmtId="178" fontId="0" fillId="2" borderId="8" xfId="0" applyNumberFormat="1" applyFill="1" applyBorder="1" applyAlignment="1">
      <alignment horizontal="center" vertical="center"/>
    </xf>
    <xf numFmtId="178" fontId="0" fillId="3" borderId="8" xfId="0" applyNumberFormat="1" applyFill="1" applyBorder="1" applyAlignment="1">
      <alignment horizontal="center" vertical="center"/>
    </xf>
    <xf numFmtId="178" fontId="1" fillId="0" borderId="0" xfId="0" applyNumberFormat="1" applyFont="1">
      <alignment vertical="center"/>
    </xf>
    <xf numFmtId="0" fontId="0" fillId="0" borderId="32" xfId="0" applyBorder="1">
      <alignment vertical="center"/>
    </xf>
    <xf numFmtId="0" fontId="7" fillId="0" borderId="0" xfId="79" applyFont="1" applyAlignment="1"/>
    <xf numFmtId="0" fontId="8" fillId="0" borderId="0" xfId="79" applyFont="1" applyAlignment="1"/>
    <xf numFmtId="0" fontId="7" fillId="0" borderId="0" xfId="79" applyFont="1">
      <alignment vertical="center"/>
    </xf>
    <xf numFmtId="0" fontId="9" fillId="0" borderId="0" xfId="79" applyFont="1" applyAlignment="1"/>
    <xf numFmtId="49" fontId="9" fillId="0" borderId="0" xfId="79" applyNumberFormat="1" applyFont="1" applyAlignment="1"/>
    <xf numFmtId="0" fontId="10" fillId="0" borderId="35" xfId="80" applyFont="1" applyBorder="1" applyAlignment="1">
      <alignment vertical="center"/>
    </xf>
    <xf numFmtId="0" fontId="11" fillId="0" borderId="35" xfId="80" applyFont="1" applyBorder="1" applyAlignment="1">
      <alignment vertical="center"/>
    </xf>
    <xf numFmtId="0" fontId="10" fillId="0" borderId="0" xfId="80" applyFont="1" applyAlignment="1">
      <alignment vertical="center"/>
    </xf>
    <xf numFmtId="14" fontId="10" fillId="0" borderId="0" xfId="80" applyNumberFormat="1" applyFont="1" applyAlignment="1">
      <alignment horizontal="left" vertical="center"/>
    </xf>
    <xf numFmtId="0" fontId="10" fillId="0" borderId="36" xfId="80" applyFont="1" applyBorder="1" applyAlignment="1">
      <alignment horizontal="center" vertical="center" wrapText="1"/>
    </xf>
    <xf numFmtId="0" fontId="10" fillId="2" borderId="37" xfId="80" applyFont="1" applyFill="1" applyBorder="1" applyAlignment="1">
      <alignment horizontal="left" vertical="center"/>
    </xf>
    <xf numFmtId="0" fontId="10" fillId="2" borderId="39" xfId="80" applyFont="1" applyFill="1" applyBorder="1" applyAlignment="1">
      <alignment vertical="center"/>
    </xf>
    <xf numFmtId="0" fontId="10" fillId="0" borderId="37" xfId="80" applyFont="1" applyBorder="1" applyAlignment="1">
      <alignment horizontal="right" vertical="center" wrapText="1"/>
    </xf>
    <xf numFmtId="0" fontId="10" fillId="0" borderId="39" xfId="80" applyFont="1" applyBorder="1" applyAlignment="1">
      <alignment vertical="center" wrapText="1"/>
    </xf>
    <xf numFmtId="0" fontId="10" fillId="0" borderId="39" xfId="80" applyFont="1" applyBorder="1" applyAlignment="1">
      <alignment horizontal="center" vertical="center"/>
    </xf>
    <xf numFmtId="0" fontId="10" fillId="0" borderId="36" xfId="80" applyFont="1" applyBorder="1" applyAlignment="1">
      <alignment horizontal="center" vertical="center"/>
    </xf>
    <xf numFmtId="0" fontId="10" fillId="0" borderId="36" xfId="80" applyFont="1" applyBorder="1" applyAlignment="1">
      <alignment vertical="center"/>
    </xf>
    <xf numFmtId="0" fontId="10" fillId="0" borderId="36" xfId="80" applyFont="1" applyBorder="1" applyAlignment="1">
      <alignment horizontal="left" vertical="center"/>
    </xf>
    <xf numFmtId="2" fontId="13" fillId="0" borderId="36" xfId="0" applyNumberFormat="1" applyFont="1" applyBorder="1" applyAlignment="1">
      <alignment horizontal="center" vertical="center"/>
    </xf>
    <xf numFmtId="164" fontId="10" fillId="0" borderId="36" xfId="80" applyNumberFormat="1" applyFont="1" applyBorder="1" applyAlignment="1">
      <alignment horizontal="center" vertical="center"/>
    </xf>
    <xf numFmtId="0" fontId="11" fillId="0" borderId="36" xfId="80" applyFont="1" applyBorder="1" applyAlignment="1">
      <alignment horizontal="center" vertical="center"/>
    </xf>
    <xf numFmtId="180" fontId="11" fillId="0" borderId="36" xfId="80" applyNumberFormat="1" applyFont="1" applyBorder="1" applyAlignment="1">
      <alignment horizontal="center" vertical="center"/>
    </xf>
    <xf numFmtId="164" fontId="11" fillId="0" borderId="36" xfId="80" applyNumberFormat="1" applyFont="1" applyBorder="1" applyAlignment="1">
      <alignment horizontal="center" vertical="center"/>
    </xf>
    <xf numFmtId="0" fontId="14" fillId="0" borderId="0" xfId="79" applyFont="1" applyAlignment="1"/>
    <xf numFmtId="0" fontId="10" fillId="0" borderId="36" xfId="80" applyFont="1" applyBorder="1" applyAlignment="1">
      <alignment vertical="center" wrapText="1"/>
    </xf>
    <xf numFmtId="49" fontId="10" fillId="0" borderId="36" xfId="80" applyNumberFormat="1" applyFont="1" applyBorder="1" applyAlignment="1">
      <alignment vertical="center" wrapText="1"/>
    </xf>
    <xf numFmtId="9" fontId="10" fillId="0" borderId="36" xfId="2" applyFont="1" applyBorder="1" applyAlignment="1">
      <alignment horizontal="center" vertical="center"/>
    </xf>
    <xf numFmtId="164" fontId="10" fillId="0" borderId="36" xfId="80" applyNumberFormat="1" applyFont="1" applyBorder="1" applyAlignment="1">
      <alignment horizontal="left" vertical="center"/>
    </xf>
    <xf numFmtId="0" fontId="10" fillId="0" borderId="37" xfId="80" applyFont="1" applyBorder="1" applyAlignment="1">
      <alignment horizontal="right" vertical="center" shrinkToFit="1"/>
    </xf>
    <xf numFmtId="9" fontId="11" fillId="0" borderId="36" xfId="2" applyFont="1" applyBorder="1" applyAlignment="1">
      <alignment horizontal="center" vertical="center"/>
    </xf>
    <xf numFmtId="0" fontId="7" fillId="0" borderId="0" xfId="79" applyFont="1" applyAlignment="1">
      <alignment horizontal="left" vertical="top"/>
    </xf>
    <xf numFmtId="0" fontId="8" fillId="0" borderId="0" xfId="79" applyFont="1" applyAlignment="1">
      <alignment horizontal="left" vertical="top"/>
    </xf>
    <xf numFmtId="0" fontId="9" fillId="0" borderId="0" xfId="79" applyFont="1" applyAlignment="1">
      <alignment horizontal="left" vertical="top"/>
    </xf>
    <xf numFmtId="14" fontId="15" fillId="4" borderId="41" xfId="56" applyNumberFormat="1" applyFont="1" applyFill="1" applyBorder="1" applyAlignment="1">
      <alignment horizontal="left" vertical="center" wrapText="1" shrinkToFit="1"/>
    </xf>
    <xf numFmtId="0" fontId="15" fillId="4" borderId="41" xfId="56" applyFont="1" applyFill="1" applyBorder="1" applyAlignment="1">
      <alignment horizontal="left" vertical="center" wrapText="1" shrinkToFit="1"/>
    </xf>
    <xf numFmtId="0" fontId="15" fillId="4" borderId="41" xfId="57" applyFont="1" applyFill="1" applyBorder="1" applyAlignment="1">
      <alignment horizontal="left" vertical="center" wrapText="1" shrinkToFit="1"/>
    </xf>
    <xf numFmtId="0" fontId="16" fillId="0" borderId="0" xfId="79" applyFont="1" applyAlignment="1"/>
    <xf numFmtId="0" fontId="17" fillId="0" borderId="0" xfId="79" applyFont="1" applyAlignment="1"/>
    <xf numFmtId="0" fontId="16" fillId="0" borderId="0" xfId="79" applyFont="1">
      <alignment vertical="center"/>
    </xf>
    <xf numFmtId="0" fontId="15" fillId="0" borderId="0" xfId="79" applyFont="1" applyAlignment="1"/>
    <xf numFmtId="0" fontId="18" fillId="0" borderId="0" xfId="79" applyFont="1" applyAlignment="1"/>
    <xf numFmtId="49" fontId="18" fillId="0" borderId="0" xfId="79" applyNumberFormat="1" applyFont="1" applyAlignment="1"/>
    <xf numFmtId="0" fontId="11" fillId="0" borderId="39" xfId="80" applyFont="1" applyBorder="1" applyAlignment="1">
      <alignment horizontal="left" vertical="center" wrapText="1"/>
    </xf>
    <xf numFmtId="0" fontId="10" fillId="2" borderId="36" xfId="80" applyFont="1" applyFill="1" applyBorder="1" applyAlignment="1">
      <alignment horizontal="center" vertical="center"/>
    </xf>
    <xf numFmtId="2" fontId="10" fillId="2" borderId="36" xfId="0" applyNumberFormat="1" applyFont="1" applyFill="1" applyBorder="1" applyAlignment="1">
      <alignment horizontal="center" vertical="center"/>
    </xf>
    <xf numFmtId="164" fontId="10" fillId="2" borderId="36" xfId="80" applyNumberFormat="1" applyFont="1" applyFill="1" applyBorder="1" applyAlignment="1">
      <alignment horizontal="center" vertical="center" shrinkToFit="1"/>
    </xf>
    <xf numFmtId="0" fontId="20" fillId="0" borderId="0" xfId="79" applyFont="1" applyAlignment="1"/>
    <xf numFmtId="9" fontId="10" fillId="2" borderId="36" xfId="2" applyFont="1" applyFill="1" applyBorder="1" applyAlignment="1">
      <alignment horizontal="center" vertical="center" shrinkToFit="1"/>
    </xf>
    <xf numFmtId="164" fontId="10" fillId="2" borderId="36" xfId="80" applyNumberFormat="1" applyFont="1" applyFill="1" applyBorder="1" applyAlignment="1">
      <alignment horizontal="left" vertical="center" shrinkToFit="1"/>
    </xf>
    <xf numFmtId="0" fontId="10" fillId="2" borderId="37" xfId="80" applyFont="1" applyFill="1" applyBorder="1" applyAlignment="1">
      <alignment horizontal="right" vertical="center" wrapText="1"/>
    </xf>
    <xf numFmtId="0" fontId="16" fillId="0" borderId="0" xfId="79" applyFont="1" applyAlignment="1">
      <alignment horizontal="left" vertical="top"/>
    </xf>
    <xf numFmtId="0" fontId="17" fillId="0" borderId="0" xfId="79" applyFont="1" applyAlignment="1">
      <alignment horizontal="left" vertical="top"/>
    </xf>
    <xf numFmtId="0" fontId="18" fillId="0" borderId="0" xfId="79" applyFont="1" applyAlignment="1">
      <alignment horizontal="left" vertical="top"/>
    </xf>
    <xf numFmtId="14" fontId="10" fillId="4" borderId="41" xfId="56" applyNumberFormat="1" applyFont="1" applyFill="1" applyBorder="1" applyAlignment="1">
      <alignment horizontal="left" vertical="center" wrapText="1" shrinkToFit="1"/>
    </xf>
    <xf numFmtId="0" fontId="15" fillId="0" borderId="0" xfId="79" applyFont="1" applyAlignment="1">
      <alignment horizontal="left" vertical="top"/>
    </xf>
    <xf numFmtId="0" fontId="21" fillId="0" borderId="36" xfId="0" applyFont="1" applyBorder="1" applyAlignment="1">
      <alignment horizontal="center" vertical="center"/>
    </xf>
    <xf numFmtId="0" fontId="16" fillId="0" borderId="36" xfId="79" applyFont="1" applyBorder="1" applyAlignment="1">
      <alignment horizontal="center" vertical="center"/>
    </xf>
    <xf numFmtId="0" fontId="16" fillId="5" borderId="36" xfId="79" applyFont="1" applyFill="1" applyBorder="1">
      <alignment vertical="center"/>
    </xf>
    <xf numFmtId="0" fontId="22" fillId="6" borderId="36" xfId="0" applyFont="1" applyFill="1" applyBorder="1" applyAlignment="1">
      <alignment horizontal="center" vertical="center"/>
    </xf>
    <xf numFmtId="0" fontId="10" fillId="4" borderId="41" xfId="56" applyFont="1" applyFill="1" applyBorder="1" applyAlignment="1">
      <alignment horizontal="left" vertical="center" wrapText="1" shrinkToFit="1"/>
    </xf>
    <xf numFmtId="0" fontId="10" fillId="4" borderId="41" xfId="57" applyFont="1" applyFill="1" applyBorder="1" applyAlignment="1">
      <alignment horizontal="left" vertical="center" wrapText="1" shrinkToFit="1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3" fillId="2" borderId="0" xfId="0" applyFont="1" applyFill="1" applyAlignment="1">
      <alignment horizontal="center" vertical="center"/>
    </xf>
    <xf numFmtId="4" fontId="27" fillId="0" borderId="39" xfId="55" applyFont="1" applyBorder="1" applyAlignment="1">
      <alignment horizontal="center" vertical="center" wrapText="1"/>
    </xf>
    <xf numFmtId="4" fontId="27" fillId="0" borderId="42" xfId="55" applyFont="1" applyBorder="1" applyAlignment="1">
      <alignment horizontal="center" vertical="center" wrapText="1"/>
    </xf>
    <xf numFmtId="178" fontId="2" fillId="0" borderId="43" xfId="55" applyNumberFormat="1" applyFont="1" applyBorder="1" applyAlignment="1">
      <alignment horizontal="center" vertical="center" wrapText="1"/>
    </xf>
    <xf numFmtId="40" fontId="2" fillId="0" borderId="42" xfId="55" applyNumberFormat="1" applyFont="1" applyBorder="1" applyAlignment="1">
      <alignment horizontal="center" vertical="center" wrapText="1"/>
    </xf>
    <xf numFmtId="40" fontId="2" fillId="2" borderId="42" xfId="55" applyNumberFormat="1" applyFont="1" applyFill="1" applyBorder="1" applyAlignment="1">
      <alignment horizontal="center" vertical="center" wrapText="1"/>
    </xf>
    <xf numFmtId="182" fontId="27" fillId="0" borderId="36" xfId="55" applyNumberFormat="1" applyFont="1" applyBorder="1" applyAlignment="1">
      <alignment horizontal="center" vertical="center" wrapText="1"/>
    </xf>
    <xf numFmtId="178" fontId="27" fillId="0" borderId="43" xfId="55" applyNumberFormat="1" applyFont="1" applyBorder="1" applyAlignment="1">
      <alignment horizontal="center" vertical="center" wrapText="1"/>
    </xf>
    <xf numFmtId="0" fontId="27" fillId="0" borderId="43" xfId="55" applyNumberFormat="1" applyFont="1" applyBorder="1" applyAlignment="1">
      <alignment horizontal="center" vertical="center" wrapText="1"/>
    </xf>
    <xf numFmtId="164" fontId="27" fillId="2" borderId="36" xfId="55" applyNumberFormat="1" applyFont="1" applyFill="1" applyBorder="1" applyAlignment="1">
      <alignment horizontal="center" vertical="center" wrapText="1"/>
    </xf>
    <xf numFmtId="164" fontId="27" fillId="2" borderId="39" xfId="55" applyNumberFormat="1" applyFont="1" applyFill="1" applyBorder="1" applyAlignment="1">
      <alignment horizontal="center" vertical="center" wrapText="1"/>
    </xf>
    <xf numFmtId="164" fontId="27" fillId="0" borderId="39" xfId="55" applyNumberFormat="1" applyFont="1" applyBorder="1" applyAlignment="1">
      <alignment horizontal="center" vertical="center" wrapText="1"/>
    </xf>
    <xf numFmtId="164" fontId="28" fillId="0" borderId="39" xfId="55" applyNumberFormat="1" applyFont="1" applyBorder="1" applyAlignment="1">
      <alignment horizontal="center" vertical="center" wrapText="1"/>
    </xf>
    <xf numFmtId="4" fontId="27" fillId="0" borderId="36" xfId="55" applyFont="1" applyBorder="1" applyAlignment="1">
      <alignment horizontal="center" vertical="center" wrapText="1"/>
    </xf>
    <xf numFmtId="164" fontId="29" fillId="5" borderId="36" xfId="55" applyNumberFormat="1" applyFont="1" applyFill="1" applyBorder="1" applyAlignment="1">
      <alignment horizontal="center" vertical="center" wrapText="1"/>
    </xf>
    <xf numFmtId="164" fontId="29" fillId="2" borderId="36" xfId="55" applyNumberFormat="1" applyFont="1" applyFill="1" applyBorder="1" applyAlignment="1">
      <alignment horizontal="center" vertical="center" wrapText="1"/>
    </xf>
    <xf numFmtId="9" fontId="5" fillId="0" borderId="37" xfId="55" applyNumberFormat="1" applyFont="1" applyBorder="1" applyAlignment="1">
      <alignment horizontal="right" vertical="center" wrapText="1"/>
    </xf>
    <xf numFmtId="0" fontId="4" fillId="0" borderId="39" xfId="0" applyFont="1" applyBorder="1" applyAlignment="1">
      <alignment horizontal="left" vertical="center"/>
    </xf>
    <xf numFmtId="9" fontId="5" fillId="0" borderId="36" xfId="55" applyNumberFormat="1" applyFont="1" applyBorder="1" applyAlignment="1">
      <alignment vertical="center" wrapText="1"/>
    </xf>
    <xf numFmtId="9" fontId="5" fillId="0" borderId="36" xfId="55" applyNumberFormat="1" applyFont="1" applyBorder="1" applyAlignment="1">
      <alignment horizontal="right" vertical="center" wrapText="1"/>
    </xf>
    <xf numFmtId="9" fontId="4" fillId="0" borderId="36" xfId="0" applyNumberFormat="1" applyFont="1" applyBorder="1" applyAlignment="1">
      <alignment horizontal="left" vertical="center"/>
    </xf>
    <xf numFmtId="0" fontId="23" fillId="0" borderId="0" xfId="0" applyFont="1">
      <alignment vertical="center"/>
    </xf>
    <xf numFmtId="0" fontId="23" fillId="2" borderId="0" xfId="0" applyFont="1" applyFill="1">
      <alignment vertical="center"/>
    </xf>
    <xf numFmtId="40" fontId="23" fillId="2" borderId="0" xfId="0" applyNumberFormat="1" applyFont="1" applyFill="1">
      <alignment vertical="center"/>
    </xf>
    <xf numFmtId="164" fontId="27" fillId="2" borderId="37" xfId="55" applyNumberFormat="1" applyFont="1" applyFill="1" applyBorder="1" applyAlignment="1">
      <alignment horizontal="center" vertical="center" wrapText="1"/>
    </xf>
    <xf numFmtId="4" fontId="24" fillId="0" borderId="0" xfId="55" applyFont="1" applyAlignment="1">
      <alignment horizontal="center" vertical="center"/>
    </xf>
    <xf numFmtId="4" fontId="27" fillId="0" borderId="41" xfId="55" applyFont="1" applyBorder="1" applyAlignment="1">
      <alignment horizontal="center" vertical="center"/>
    </xf>
    <xf numFmtId="4" fontId="27" fillId="0" borderId="0" xfId="55" applyFont="1" applyAlignment="1">
      <alignment horizontal="center" vertical="center"/>
    </xf>
    <xf numFmtId="0" fontId="27" fillId="0" borderId="41" xfId="0" applyFont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40" fontId="2" fillId="2" borderId="45" xfId="55" applyNumberFormat="1" applyFont="1" applyFill="1" applyBorder="1" applyAlignment="1">
      <alignment horizontal="center" vertical="center" wrapText="1"/>
    </xf>
    <xf numFmtId="40" fontId="2" fillId="0" borderId="0" xfId="55" applyNumberFormat="1" applyFont="1" applyAlignment="1">
      <alignment horizontal="center" vertical="center" wrapText="1"/>
    </xf>
    <xf numFmtId="49" fontId="23" fillId="0" borderId="0" xfId="0" applyNumberFormat="1" applyFont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9" fontId="23" fillId="0" borderId="0" xfId="0" applyNumberFormat="1" applyFont="1" applyAlignment="1">
      <alignment horizontal="center" vertical="center"/>
    </xf>
    <xf numFmtId="40" fontId="27" fillId="0" borderId="0" xfId="55" applyNumberFormat="1" applyFont="1" applyAlignment="1">
      <alignment horizontal="center" vertical="center" wrapText="1"/>
    </xf>
    <xf numFmtId="40" fontId="0" fillId="0" borderId="41" xfId="55" applyNumberFormat="1" applyFont="1" applyBorder="1" applyAlignment="1">
      <alignment vertical="top"/>
    </xf>
    <xf numFmtId="4" fontId="30" fillId="0" borderId="0" xfId="55" applyFont="1" applyAlignment="1" applyProtection="1">
      <alignment horizontal="center" vertical="center"/>
      <protection locked="0"/>
    </xf>
    <xf numFmtId="4" fontId="31" fillId="0" borderId="0" xfId="55" applyFont="1" applyAlignment="1" applyProtection="1">
      <alignment horizontal="left" vertical="center"/>
      <protection locked="0"/>
    </xf>
    <xf numFmtId="4" fontId="30" fillId="0" borderId="0" xfId="55" applyFont="1" applyAlignment="1" applyProtection="1">
      <alignment horizontal="left" vertical="center"/>
      <protection locked="0"/>
    </xf>
    <xf numFmtId="4" fontId="30" fillId="0" borderId="48" xfId="55" applyFont="1" applyBorder="1" applyAlignment="1" applyProtection="1">
      <alignment horizontal="left" vertical="center"/>
      <protection locked="0"/>
    </xf>
    <xf numFmtId="4" fontId="34" fillId="7" borderId="49" xfId="55" applyFont="1" applyFill="1" applyBorder="1" applyAlignment="1" applyProtection="1">
      <alignment vertical="center" wrapText="1"/>
      <protection locked="0"/>
    </xf>
    <xf numFmtId="0" fontId="27" fillId="0" borderId="39" xfId="55" applyNumberFormat="1" applyFont="1" applyBorder="1" applyAlignment="1" applyProtection="1">
      <alignment horizontal="left" vertical="center" shrinkToFit="1"/>
      <protection locked="0"/>
    </xf>
    <xf numFmtId="4" fontId="35" fillId="0" borderId="36" xfId="55" applyFont="1" applyBorder="1" applyAlignment="1" applyProtection="1">
      <alignment horizontal="left" vertical="center" wrapText="1"/>
      <protection locked="0"/>
    </xf>
    <xf numFmtId="4" fontId="31" fillId="0" borderId="36" xfId="55" applyFont="1" applyBorder="1" applyAlignment="1" applyProtection="1">
      <alignment horizontal="left" vertical="center"/>
      <protection locked="0"/>
    </xf>
    <xf numFmtId="0" fontId="30" fillId="0" borderId="49" xfId="55" applyNumberFormat="1" applyFont="1" applyBorder="1" applyAlignment="1" applyProtection="1">
      <alignment horizontal="left" vertical="center"/>
      <protection locked="0"/>
    </xf>
    <xf numFmtId="14" fontId="27" fillId="0" borderId="36" xfId="55" applyNumberFormat="1" applyFont="1" applyBorder="1" applyAlignment="1" applyProtection="1">
      <alignment horizontal="left" vertical="center" wrapText="1"/>
      <protection locked="0"/>
    </xf>
    <xf numFmtId="0" fontId="27" fillId="0" borderId="36" xfId="55" applyNumberFormat="1" applyFont="1" applyBorder="1" applyAlignment="1">
      <alignment horizontal="left" vertical="center"/>
    </xf>
    <xf numFmtId="183" fontId="27" fillId="0" borderId="36" xfId="0" applyNumberFormat="1" applyFont="1" applyBorder="1">
      <alignment vertical="center"/>
    </xf>
    <xf numFmtId="14" fontId="27" fillId="0" borderId="36" xfId="0" applyNumberFormat="1" applyFont="1" applyBorder="1" applyAlignment="1" applyProtection="1">
      <alignment horizontal="left" vertical="center" wrapText="1"/>
      <protection locked="0"/>
    </xf>
    <xf numFmtId="14" fontId="27" fillId="0" borderId="36" xfId="55" applyNumberFormat="1" applyFont="1" applyBorder="1" applyAlignment="1">
      <alignment horizontal="left" vertical="center" wrapText="1"/>
    </xf>
    <xf numFmtId="178" fontId="27" fillId="0" borderId="36" xfId="55" applyNumberFormat="1" applyFont="1" applyBorder="1" applyAlignment="1">
      <alignment horizontal="left" vertical="center" wrapText="1"/>
    </xf>
    <xf numFmtId="178" fontId="27" fillId="0" borderId="36" xfId="0" applyNumberFormat="1" applyFont="1" applyBorder="1">
      <alignment vertical="center"/>
    </xf>
    <xf numFmtId="0" fontId="27" fillId="0" borderId="36" xfId="55" applyNumberFormat="1" applyFont="1" applyBorder="1" applyAlignment="1" applyProtection="1">
      <alignment horizontal="left" vertical="center"/>
      <protection locked="0"/>
    </xf>
    <xf numFmtId="178" fontId="27" fillId="0" borderId="36" xfId="55" applyNumberFormat="1" applyFont="1" applyBorder="1" applyAlignment="1" applyProtection="1">
      <alignment horizontal="left" vertical="center" wrapText="1"/>
      <protection locked="0"/>
    </xf>
    <xf numFmtId="4" fontId="30" fillId="0" borderId="55" xfId="55" applyFont="1" applyBorder="1" applyAlignment="1" applyProtection="1">
      <alignment horizontal="left" vertical="center"/>
      <protection locked="0"/>
    </xf>
    <xf numFmtId="0" fontId="30" fillId="0" borderId="59" xfId="55" applyNumberFormat="1" applyFont="1" applyBorder="1" applyAlignment="1" applyProtection="1">
      <alignment horizontal="left" vertical="center"/>
      <protection locked="0"/>
    </xf>
    <xf numFmtId="4" fontId="30" fillId="0" borderId="59" xfId="55" applyFont="1" applyBorder="1" applyAlignment="1" applyProtection="1">
      <alignment horizontal="left" vertical="center"/>
      <protection locked="0"/>
    </xf>
    <xf numFmtId="4" fontId="34" fillId="7" borderId="36" xfId="55" applyFont="1" applyFill="1" applyBorder="1" applyAlignment="1" applyProtection="1">
      <alignment vertical="center" wrapText="1"/>
      <protection locked="0"/>
    </xf>
    <xf numFmtId="0" fontId="27" fillId="0" borderId="39" xfId="55" applyNumberFormat="1" applyFont="1" applyBorder="1" applyAlignment="1">
      <alignment horizontal="left" vertical="center" shrinkToFit="1"/>
    </xf>
    <xf numFmtId="3" fontId="38" fillId="0" borderId="42" xfId="55" applyNumberFormat="1" applyFont="1" applyBorder="1" applyAlignment="1" applyProtection="1">
      <alignment horizontal="left" vertical="center" wrapText="1"/>
      <protection locked="0"/>
    </xf>
    <xf numFmtId="167" fontId="27" fillId="0" borderId="36" xfId="55" applyNumberFormat="1" applyFont="1" applyBorder="1" applyAlignment="1">
      <alignment horizontal="left" vertical="center"/>
    </xf>
    <xf numFmtId="0" fontId="27" fillId="0" borderId="36" xfId="0" applyFont="1" applyBorder="1">
      <alignment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30" fillId="9" borderId="62" xfId="0" applyFont="1" applyFill="1" applyBorder="1">
      <alignment vertical="center"/>
    </xf>
    <xf numFmtId="178" fontId="27" fillId="0" borderId="36" xfId="0" applyNumberFormat="1" applyFont="1" applyBorder="1" applyAlignment="1">
      <alignment horizontal="left" vertical="center"/>
    </xf>
    <xf numFmtId="184" fontId="27" fillId="0" borderId="36" xfId="0" applyNumberFormat="1" applyFont="1" applyBorder="1" applyAlignment="1">
      <alignment horizontal="left" vertical="center"/>
    </xf>
    <xf numFmtId="0" fontId="27" fillId="0" borderId="62" xfId="0" applyFont="1" applyBorder="1">
      <alignment vertical="center"/>
    </xf>
    <xf numFmtId="4" fontId="34" fillId="0" borderId="0" xfId="55" applyFont="1" applyAlignment="1" applyProtection="1">
      <alignment horizontal="center" vertical="center"/>
      <protection locked="0"/>
    </xf>
    <xf numFmtId="0" fontId="30" fillId="0" borderId="0" xfId="55" applyNumberFormat="1" applyFont="1" applyAlignment="1" applyProtection="1">
      <alignment horizontal="left" vertical="center"/>
      <protection locked="0"/>
    </xf>
    <xf numFmtId="164" fontId="27" fillId="0" borderId="59" xfId="55" applyNumberFormat="1" applyFont="1" applyBorder="1" applyAlignment="1" applyProtection="1">
      <alignment horizontal="left" vertical="center"/>
      <protection locked="0"/>
    </xf>
    <xf numFmtId="0" fontId="27" fillId="0" borderId="65" xfId="0" applyFont="1" applyBorder="1">
      <alignment vertical="center"/>
    </xf>
    <xf numFmtId="0" fontId="30" fillId="9" borderId="36" xfId="0" applyFont="1" applyFill="1" applyBorder="1">
      <alignment vertical="center"/>
    </xf>
    <xf numFmtId="185" fontId="30" fillId="0" borderId="0" xfId="55" applyNumberFormat="1" applyFont="1" applyAlignment="1" applyProtection="1">
      <alignment horizontal="left" vertical="center"/>
      <protection locked="0"/>
    </xf>
    <xf numFmtId="178" fontId="27" fillId="0" borderId="36" xfId="55" applyNumberFormat="1" applyFont="1" applyBorder="1" applyAlignment="1">
      <alignment horizontal="left" vertical="center"/>
    </xf>
    <xf numFmtId="4" fontId="30" fillId="0" borderId="36" xfId="55" applyFont="1" applyBorder="1" applyAlignment="1" applyProtection="1">
      <alignment horizontal="left" vertical="center"/>
      <protection locked="0"/>
    </xf>
    <xf numFmtId="4" fontId="30" fillId="0" borderId="38" xfId="55" applyFont="1" applyBorder="1" applyAlignment="1" applyProtection="1">
      <alignment horizontal="left" vertical="center"/>
      <protection locked="0"/>
    </xf>
    <xf numFmtId="0" fontId="30" fillId="0" borderId="36" xfId="55" applyNumberFormat="1" applyFont="1" applyBorder="1" applyAlignment="1" applyProtection="1">
      <alignment horizontal="left" vertical="center"/>
      <protection locked="0"/>
    </xf>
    <xf numFmtId="4" fontId="34" fillId="0" borderId="0" xfId="55" applyFont="1" applyAlignment="1" applyProtection="1">
      <alignment horizontal="left" vertical="center"/>
      <protection locked="0"/>
    </xf>
    <xf numFmtId="14" fontId="30" fillId="0" borderId="0" xfId="55" applyNumberFormat="1" applyFont="1" applyAlignment="1" applyProtection="1">
      <alignment horizontal="left" vertical="center"/>
      <protection locked="0"/>
    </xf>
    <xf numFmtId="4" fontId="34" fillId="0" borderId="36" xfId="55" applyFont="1" applyBorder="1" applyAlignment="1" applyProtection="1">
      <alignment horizontal="left" vertical="center"/>
      <protection locked="0"/>
    </xf>
    <xf numFmtId="4" fontId="30" fillId="0" borderId="36" xfId="55" applyFont="1" applyBorder="1" applyAlignment="1" applyProtection="1">
      <alignment horizontal="left" vertical="center" wrapText="1"/>
      <protection locked="0"/>
    </xf>
    <xf numFmtId="4" fontId="30" fillId="0" borderId="0" xfId="55" applyFont="1" applyAlignment="1" applyProtection="1">
      <alignment horizontal="left" vertical="center" wrapText="1"/>
      <protection locked="0"/>
    </xf>
    <xf numFmtId="166" fontId="30" fillId="0" borderId="36" xfId="55" applyNumberFormat="1" applyFont="1" applyBorder="1" applyAlignment="1" applyProtection="1">
      <alignment horizontal="left" vertical="center"/>
      <protection locked="0"/>
    </xf>
    <xf numFmtId="184" fontId="30" fillId="0" borderId="36" xfId="55" applyNumberFormat="1" applyFont="1" applyBorder="1" applyAlignment="1" applyProtection="1">
      <alignment horizontal="left" vertical="center"/>
      <protection locked="0"/>
    </xf>
    <xf numFmtId="164" fontId="27" fillId="0" borderId="36" xfId="55" applyNumberFormat="1" applyFont="1" applyBorder="1" applyAlignment="1" applyProtection="1">
      <alignment horizontal="left" vertical="center"/>
      <protection locked="0"/>
    </xf>
    <xf numFmtId="178" fontId="27" fillId="0" borderId="36" xfId="0" applyNumberFormat="1" applyFont="1" applyBorder="1" applyAlignment="1" applyProtection="1">
      <alignment horizontal="left" vertical="center" wrapText="1"/>
      <protection locked="0"/>
    </xf>
    <xf numFmtId="0" fontId="27" fillId="0" borderId="36" xfId="55" applyNumberFormat="1" applyFont="1" applyBorder="1" applyAlignment="1">
      <alignment horizontal="left" vertical="center" wrapText="1"/>
    </xf>
    <xf numFmtId="4" fontId="27" fillId="0" borderId="36" xfId="55" applyFont="1" applyBorder="1" applyAlignment="1">
      <alignment horizontal="left" vertical="center"/>
    </xf>
    <xf numFmtId="4" fontId="27" fillId="0" borderId="36" xfId="55" applyFont="1" applyBorder="1" applyAlignment="1" applyProtection="1">
      <alignment horizontal="left" vertical="center"/>
      <protection locked="0"/>
    </xf>
    <xf numFmtId="186" fontId="27" fillId="0" borderId="36" xfId="55" applyNumberFormat="1" applyFont="1" applyBorder="1" applyAlignment="1" applyProtection="1">
      <alignment horizontal="left" vertical="center" wrapText="1"/>
      <protection locked="0"/>
    </xf>
    <xf numFmtId="184" fontId="30" fillId="0" borderId="0" xfId="55" applyNumberFormat="1" applyFont="1" applyAlignment="1" applyProtection="1">
      <alignment horizontal="left" vertical="center"/>
      <protection locked="0"/>
    </xf>
    <xf numFmtId="183" fontId="27" fillId="0" borderId="36" xfId="0" applyNumberFormat="1" applyFont="1" applyBorder="1" applyAlignment="1">
      <alignment horizontal="left" vertical="center"/>
    </xf>
    <xf numFmtId="0" fontId="74" fillId="0" borderId="0" xfId="52" applyProtection="1">
      <protection locked="0"/>
    </xf>
    <xf numFmtId="0" fontId="74" fillId="0" borderId="35" xfId="46" applyBorder="1" applyProtection="1">
      <protection locked="0"/>
    </xf>
    <xf numFmtId="0" fontId="74" fillId="0" borderId="0" xfId="46" applyProtection="1">
      <protection locked="0"/>
    </xf>
    <xf numFmtId="0" fontId="40" fillId="0" borderId="0" xfId="52" applyFont="1" applyAlignment="1" applyProtection="1">
      <alignment horizontal="center"/>
      <protection locked="0"/>
    </xf>
    <xf numFmtId="0" fontId="41" fillId="0" borderId="40" xfId="52" applyFont="1" applyBorder="1" applyProtection="1">
      <protection locked="0"/>
    </xf>
    <xf numFmtId="0" fontId="42" fillId="0" borderId="0" xfId="52" applyFont="1" applyAlignment="1" applyProtection="1">
      <alignment horizontal="center"/>
      <protection locked="0"/>
    </xf>
    <xf numFmtId="0" fontId="43" fillId="0" borderId="0" xfId="52" applyFont="1" applyAlignment="1" applyProtection="1">
      <alignment horizontal="center"/>
      <protection locked="0"/>
    </xf>
    <xf numFmtId="0" fontId="41" fillId="0" borderId="0" xfId="52" applyFont="1" applyProtection="1">
      <protection locked="0"/>
    </xf>
    <xf numFmtId="0" fontId="23" fillId="0" borderId="0" xfId="52" applyFont="1" applyAlignment="1" applyProtection="1">
      <alignment horizontal="center"/>
      <protection locked="0"/>
    </xf>
    <xf numFmtId="0" fontId="44" fillId="0" borderId="0" xfId="52" applyFont="1" applyAlignment="1" applyProtection="1">
      <alignment horizontal="center"/>
      <protection locked="0"/>
    </xf>
    <xf numFmtId="0" fontId="40" fillId="10" borderId="0" xfId="52" applyFont="1" applyFill="1" applyAlignment="1" applyProtection="1">
      <alignment horizontal="center" shrinkToFit="1"/>
      <protection locked="0"/>
    </xf>
    <xf numFmtId="14" fontId="40" fillId="10" borderId="0" xfId="52" applyNumberFormat="1" applyFont="1" applyFill="1" applyAlignment="1" applyProtection="1">
      <alignment shrinkToFit="1"/>
      <protection locked="0"/>
    </xf>
    <xf numFmtId="0" fontId="3" fillId="0" borderId="0" xfId="52" applyFont="1" applyAlignment="1" applyProtection="1">
      <alignment horizontal="left"/>
      <protection locked="0"/>
    </xf>
    <xf numFmtId="0" fontId="41" fillId="0" borderId="70" xfId="52" applyFont="1" applyBorder="1" applyAlignment="1" applyProtection="1">
      <alignment horizontal="center" vertical="center" wrapText="1"/>
      <protection locked="0"/>
    </xf>
    <xf numFmtId="0" fontId="41" fillId="0" borderId="37" xfId="52" applyFont="1" applyBorder="1" applyAlignment="1" applyProtection="1">
      <alignment horizontal="center" vertical="center" wrapText="1"/>
      <protection locked="0"/>
    </xf>
    <xf numFmtId="0" fontId="41" fillId="0" borderId="71" xfId="52" applyFont="1" applyBorder="1" applyAlignment="1" applyProtection="1">
      <alignment horizontal="center" vertical="center" wrapText="1"/>
      <protection locked="0"/>
    </xf>
    <xf numFmtId="0" fontId="41" fillId="0" borderId="70" xfId="52" applyFont="1" applyBorder="1" applyAlignment="1" applyProtection="1">
      <alignment horizontal="center"/>
      <protection locked="0"/>
    </xf>
    <xf numFmtId="20" fontId="47" fillId="10" borderId="37" xfId="49" applyNumberFormat="1" applyFont="1" applyFill="1" applyBorder="1" applyAlignment="1" applyProtection="1">
      <alignment horizontal="center" wrapText="1"/>
      <protection locked="0"/>
    </xf>
    <xf numFmtId="167" fontId="41" fillId="10" borderId="37" xfId="43" applyNumberFormat="1" applyFont="1" applyFill="1" applyBorder="1" applyAlignment="1" applyProtection="1">
      <alignment horizontal="center"/>
      <protection locked="0"/>
    </xf>
    <xf numFmtId="0" fontId="47" fillId="0" borderId="36" xfId="52" applyFont="1" applyBorder="1" applyAlignment="1">
      <alignment horizontal="center"/>
    </xf>
    <xf numFmtId="0" fontId="41" fillId="0" borderId="72" xfId="52" applyFont="1" applyBorder="1" applyAlignment="1" applyProtection="1">
      <alignment horizontal="center"/>
      <protection locked="0"/>
    </xf>
    <xf numFmtId="0" fontId="41" fillId="10" borderId="36" xfId="43" applyFont="1" applyFill="1" applyBorder="1" applyAlignment="1" applyProtection="1">
      <alignment horizontal="center"/>
      <protection locked="0"/>
    </xf>
    <xf numFmtId="0" fontId="41" fillId="0" borderId="36" xfId="52" applyFont="1" applyBorder="1" applyAlignment="1">
      <alignment horizontal="center"/>
    </xf>
    <xf numFmtId="0" fontId="41" fillId="10" borderId="37" xfId="43" applyFont="1" applyFill="1" applyBorder="1" applyAlignment="1" applyProtection="1">
      <alignment horizontal="center"/>
      <protection locked="0"/>
    </xf>
    <xf numFmtId="0" fontId="47" fillId="10" borderId="37" xfId="54" applyFont="1" applyFill="1" applyBorder="1" applyAlignment="1" applyProtection="1">
      <alignment horizontal="center" wrapText="1"/>
      <protection locked="0"/>
    </xf>
    <xf numFmtId="20" fontId="47" fillId="10" borderId="37" xfId="47" applyNumberFormat="1" applyFont="1" applyFill="1" applyBorder="1" applyAlignment="1" applyProtection="1">
      <alignment horizontal="center" wrapText="1"/>
      <protection locked="0"/>
    </xf>
    <xf numFmtId="167" fontId="41" fillId="10" borderId="37" xfId="52" applyNumberFormat="1" applyFont="1" applyFill="1" applyBorder="1" applyAlignment="1" applyProtection="1">
      <alignment horizontal="center"/>
      <protection locked="0"/>
    </xf>
    <xf numFmtId="0" fontId="41" fillId="10" borderId="37" xfId="52" applyFont="1" applyFill="1" applyBorder="1" applyAlignment="1" applyProtection="1">
      <alignment horizontal="center"/>
      <protection locked="0"/>
    </xf>
    <xf numFmtId="20" fontId="41" fillId="10" borderId="37" xfId="47" applyNumberFormat="1" applyFont="1" applyFill="1" applyBorder="1" applyAlignment="1" applyProtection="1">
      <alignment horizontal="center" wrapText="1"/>
      <protection locked="0"/>
    </xf>
    <xf numFmtId="0" fontId="41" fillId="10" borderId="37" xfId="53" applyFont="1" applyFill="1" applyBorder="1" applyAlignment="1" applyProtection="1">
      <alignment horizontal="center" wrapText="1"/>
      <protection locked="0"/>
    </xf>
    <xf numFmtId="0" fontId="41" fillId="10" borderId="37" xfId="52" applyFont="1" applyFill="1" applyBorder="1" applyAlignment="1" applyProtection="1">
      <alignment wrapText="1"/>
      <protection locked="0"/>
    </xf>
    <xf numFmtId="187" fontId="41" fillId="10" borderId="37" xfId="52" applyNumberFormat="1" applyFont="1" applyFill="1" applyBorder="1" applyAlignment="1" applyProtection="1">
      <alignment horizontal="center"/>
      <protection locked="0"/>
    </xf>
    <xf numFmtId="0" fontId="41" fillId="0" borderId="73" xfId="52" applyFont="1" applyBorder="1" applyAlignment="1" applyProtection="1">
      <alignment horizontal="center"/>
      <protection locked="0"/>
    </xf>
    <xf numFmtId="0" fontId="41" fillId="10" borderId="74" xfId="52" applyFont="1" applyFill="1" applyBorder="1" applyAlignment="1" applyProtection="1">
      <alignment horizontal="center"/>
      <protection locked="0"/>
    </xf>
    <xf numFmtId="0" fontId="23" fillId="0" borderId="36" xfId="52" applyFont="1" applyBorder="1" applyAlignment="1" applyProtection="1">
      <alignment horizontal="center" vertical="center" wrapText="1"/>
      <protection locked="0"/>
    </xf>
    <xf numFmtId="0" fontId="41" fillId="0" borderId="77" xfId="52" applyFont="1" applyBorder="1" applyAlignment="1" applyProtection="1">
      <alignment horizontal="center" vertical="center" wrapText="1"/>
      <protection locked="0"/>
    </xf>
    <xf numFmtId="0" fontId="47" fillId="0" borderId="37" xfId="52" applyFont="1" applyBorder="1" applyAlignment="1" applyProtection="1">
      <alignment horizontal="center" vertical="center" wrapText="1"/>
      <protection locked="0"/>
    </xf>
    <xf numFmtId="0" fontId="47" fillId="10" borderId="37" xfId="52" applyFont="1" applyFill="1" applyBorder="1" applyAlignment="1" applyProtection="1">
      <alignment horizontal="center" wrapText="1"/>
      <protection locked="0"/>
    </xf>
    <xf numFmtId="0" fontId="41" fillId="10" borderId="51" xfId="52" applyFont="1" applyFill="1" applyBorder="1" applyAlignment="1" applyProtection="1">
      <alignment horizontal="center" wrapText="1"/>
      <protection locked="0"/>
    </xf>
    <xf numFmtId="0" fontId="47" fillId="10" borderId="37" xfId="43" applyFont="1" applyFill="1" applyBorder="1" applyAlignment="1" applyProtection="1">
      <alignment horizontal="center" wrapText="1"/>
      <protection locked="0"/>
    </xf>
    <xf numFmtId="14" fontId="41" fillId="10" borderId="37" xfId="43" applyNumberFormat="1" applyFont="1" applyFill="1" applyBorder="1" applyAlignment="1" applyProtection="1">
      <alignment horizontal="center" wrapText="1"/>
      <protection locked="0"/>
    </xf>
    <xf numFmtId="0" fontId="41" fillId="10" borderId="37" xfId="52" applyFont="1" applyFill="1" applyBorder="1" applyAlignment="1" applyProtection="1">
      <alignment horizontal="center" wrapText="1"/>
      <protection locked="0"/>
    </xf>
    <xf numFmtId="0" fontId="41" fillId="10" borderId="37" xfId="43" applyFont="1" applyFill="1" applyBorder="1" applyAlignment="1" applyProtection="1">
      <alignment horizontal="center" wrapText="1"/>
      <protection locked="0"/>
    </xf>
    <xf numFmtId="0" fontId="41" fillId="10" borderId="37" xfId="52" applyFont="1" applyFill="1" applyBorder="1" applyAlignment="1" applyProtection="1">
      <alignment horizontal="left" wrapText="1"/>
      <protection locked="0"/>
    </xf>
    <xf numFmtId="0" fontId="41" fillId="10" borderId="51" xfId="52" applyFont="1" applyFill="1" applyBorder="1" applyAlignment="1" applyProtection="1">
      <alignment horizontal="left" wrapText="1"/>
      <protection locked="0"/>
    </xf>
    <xf numFmtId="0" fontId="41" fillId="10" borderId="74" xfId="52" applyFont="1" applyFill="1" applyBorder="1" applyAlignment="1" applyProtection="1">
      <alignment horizontal="left" wrapText="1"/>
      <protection locked="0"/>
    </xf>
    <xf numFmtId="0" fontId="41" fillId="10" borderId="74" xfId="52" applyFont="1" applyFill="1" applyBorder="1" applyAlignment="1" applyProtection="1">
      <alignment horizontal="center" wrapText="1"/>
      <protection locked="0"/>
    </xf>
    <xf numFmtId="0" fontId="74" fillId="0" borderId="78" xfId="52" applyBorder="1" applyProtection="1">
      <protection locked="0"/>
    </xf>
    <xf numFmtId="0" fontId="74" fillId="0" borderId="79" xfId="52" applyBorder="1" applyProtection="1">
      <protection locked="0"/>
    </xf>
    <xf numFmtId="0" fontId="41" fillId="0" borderId="0" xfId="52" applyFont="1" applyAlignment="1" applyProtection="1">
      <alignment horizontal="center" vertical="center" wrapText="1"/>
      <protection locked="0"/>
    </xf>
    <xf numFmtId="0" fontId="50" fillId="0" borderId="36" xfId="0" applyFont="1" applyBorder="1" applyAlignment="1" applyProtection="1">
      <alignment horizontal="center"/>
      <protection locked="0"/>
    </xf>
    <xf numFmtId="0" fontId="50" fillId="10" borderId="36" xfId="46" applyFont="1" applyFill="1" applyBorder="1" applyAlignment="1" applyProtection="1">
      <alignment horizontal="center" wrapText="1"/>
      <protection locked="0"/>
    </xf>
    <xf numFmtId="0" fontId="50" fillId="0" borderId="36" xfId="46" applyFont="1" applyBorder="1" applyAlignment="1" applyProtection="1">
      <alignment horizontal="center" wrapText="1"/>
      <protection locked="0"/>
    </xf>
    <xf numFmtId="0" fontId="50" fillId="10" borderId="36" xfId="52" applyFont="1" applyFill="1" applyBorder="1" applyAlignment="1" applyProtection="1">
      <alignment horizontal="center"/>
      <protection locked="0"/>
    </xf>
    <xf numFmtId="0" fontId="50" fillId="0" borderId="0" xfId="46" applyFont="1" applyAlignment="1" applyProtection="1">
      <alignment horizontal="center" wrapText="1"/>
      <protection locked="0"/>
    </xf>
    <xf numFmtId="0" fontId="23" fillId="0" borderId="0" xfId="52" applyFont="1" applyProtection="1">
      <protection locked="0"/>
    </xf>
    <xf numFmtId="0" fontId="50" fillId="0" borderId="36" xfId="52" applyFont="1" applyBorder="1" applyAlignment="1" applyProtection="1">
      <alignment horizontal="center"/>
      <protection locked="0"/>
    </xf>
    <xf numFmtId="0" fontId="50" fillId="0" borderId="46" xfId="46" applyFont="1" applyBorder="1" applyAlignment="1" applyProtection="1">
      <alignment horizont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40" fillId="0" borderId="0" xfId="52" applyNumberFormat="1" applyFont="1" applyAlignment="1" applyProtection="1">
      <alignment shrinkToFit="1"/>
      <protection locked="0"/>
    </xf>
    <xf numFmtId="0" fontId="32" fillId="0" borderId="0" xfId="52" applyFont="1" applyProtection="1">
      <protection locked="0"/>
    </xf>
    <xf numFmtId="14" fontId="40" fillId="0" borderId="35" xfId="52" applyNumberFormat="1" applyFont="1" applyBorder="1" applyAlignment="1" applyProtection="1">
      <alignment shrinkToFit="1"/>
      <protection locked="0"/>
    </xf>
    <xf numFmtId="0" fontId="51" fillId="0" borderId="0" xfId="52" applyFont="1" applyAlignment="1" applyProtection="1">
      <alignment horizontal="center" vertical="center"/>
      <protection locked="0"/>
    </xf>
    <xf numFmtId="0" fontId="52" fillId="0" borderId="0" xfId="52" applyFont="1" applyAlignment="1" applyProtection="1">
      <alignment vertical="center"/>
      <protection locked="0"/>
    </xf>
    <xf numFmtId="0" fontId="53" fillId="0" borderId="0" xfId="52" applyFont="1" applyAlignment="1" applyProtection="1">
      <alignment vertical="center"/>
      <protection locked="0"/>
    </xf>
    <xf numFmtId="0" fontId="50" fillId="0" borderId="0" xfId="53" applyFont="1" applyAlignment="1" applyProtection="1">
      <alignment horizontal="center"/>
      <protection locked="0"/>
    </xf>
    <xf numFmtId="0" fontId="47" fillId="0" borderId="77" xfId="52" applyFont="1" applyBorder="1" applyAlignment="1">
      <alignment horizontal="center"/>
    </xf>
    <xf numFmtId="0" fontId="40" fillId="0" borderId="0" xfId="52" applyFont="1" applyProtection="1">
      <protection locked="0"/>
    </xf>
    <xf numFmtId="0" fontId="51" fillId="0" borderId="0" xfId="52" applyFont="1" applyAlignment="1" applyProtection="1">
      <alignment horizontal="center"/>
      <protection locked="0"/>
    </xf>
    <xf numFmtId="0" fontId="41" fillId="0" borderId="77" xfId="52" applyFont="1" applyBorder="1" applyAlignment="1">
      <alignment horizontal="center"/>
    </xf>
    <xf numFmtId="0" fontId="54" fillId="0" borderId="0" xfId="52" applyFont="1" applyAlignment="1" applyProtection="1">
      <alignment horizontal="center" vertical="center"/>
      <protection locked="0"/>
    </xf>
    <xf numFmtId="0" fontId="55" fillId="0" borderId="0" xfId="52" applyFont="1" applyProtection="1">
      <protection locked="0"/>
    </xf>
    <xf numFmtId="0" fontId="56" fillId="0" borderId="0" xfId="52" applyFont="1" applyProtection="1">
      <protection locked="0"/>
    </xf>
    <xf numFmtId="0" fontId="56" fillId="0" borderId="0" xfId="46" applyFont="1" applyProtection="1">
      <protection locked="0"/>
    </xf>
    <xf numFmtId="0" fontId="41" fillId="0" borderId="80" xfId="52" applyFont="1" applyBorder="1" applyAlignment="1">
      <alignment horizontal="center"/>
    </xf>
    <xf numFmtId="0" fontId="40" fillId="0" borderId="77" xfId="52" applyFont="1" applyBorder="1" applyAlignment="1" applyProtection="1">
      <alignment horizontal="center" vertical="center" wrapText="1"/>
      <protection locked="0"/>
    </xf>
    <xf numFmtId="0" fontId="41" fillId="0" borderId="77" xfId="43" applyFont="1" applyBorder="1" applyAlignment="1" applyProtection="1">
      <alignment horizontal="center" wrapText="1"/>
      <protection locked="0"/>
    </xf>
    <xf numFmtId="0" fontId="74" fillId="0" borderId="82" xfId="52" applyBorder="1" applyProtection="1">
      <protection locked="0"/>
    </xf>
    <xf numFmtId="0" fontId="0" fillId="0" borderId="0" xfId="0" applyProtection="1">
      <alignment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70" fontId="50" fillId="0" borderId="0" xfId="0" applyNumberFormat="1" applyFont="1" applyAlignment="1" applyProtection="1">
      <alignment horizontal="center" vertical="center"/>
      <protection locked="0"/>
    </xf>
    <xf numFmtId="0" fontId="58" fillId="0" borderId="0" xfId="0" applyFont="1">
      <alignment vertical="center"/>
    </xf>
    <xf numFmtId="0" fontId="0" fillId="5" borderId="0" xfId="0" applyFill="1">
      <alignment vertical="center"/>
    </xf>
    <xf numFmtId="0" fontId="38" fillId="0" borderId="0" xfId="0" applyFont="1" applyAlignment="1">
      <alignment horizontal="left" vertical="center"/>
    </xf>
    <xf numFmtId="40" fontId="38" fillId="0" borderId="0" xfId="0" applyNumberFormat="1" applyFont="1" applyAlignment="1">
      <alignment horizontal="left" vertical="center"/>
    </xf>
    <xf numFmtId="0" fontId="38" fillId="5" borderId="36" xfId="0" applyFont="1" applyFill="1" applyBorder="1" applyAlignment="1">
      <alignment horizontal="left" vertical="center"/>
    </xf>
    <xf numFmtId="0" fontId="1" fillId="5" borderId="36" xfId="0" applyFont="1" applyFill="1" applyBorder="1" applyAlignment="1">
      <alignment horizontal="left" vertical="center"/>
    </xf>
    <xf numFmtId="40" fontId="1" fillId="5" borderId="36" xfId="0" applyNumberFormat="1" applyFont="1" applyFill="1" applyBorder="1" applyAlignment="1">
      <alignment horizontal="left" vertical="center"/>
    </xf>
    <xf numFmtId="0" fontId="0" fillId="5" borderId="36" xfId="0" applyFill="1" applyBorder="1">
      <alignment vertical="center"/>
    </xf>
    <xf numFmtId="0" fontId="38" fillId="11" borderId="42" xfId="0" applyFont="1" applyFill="1" applyBorder="1" applyAlignment="1">
      <alignment horizontal="left" vertical="center"/>
    </xf>
    <xf numFmtId="0" fontId="38" fillId="7" borderId="45" xfId="56" applyFont="1" applyFill="1" applyBorder="1" applyAlignment="1">
      <alignment horizontal="left" vertical="center"/>
    </xf>
    <xf numFmtId="0" fontId="1" fillId="7" borderId="42" xfId="0" applyFont="1" applyFill="1" applyBorder="1" applyAlignment="1">
      <alignment horizontal="left" vertical="center"/>
    </xf>
    <xf numFmtId="40" fontId="38" fillId="2" borderId="45" xfId="0" applyNumberFormat="1" applyFont="1" applyFill="1" applyBorder="1" applyAlignment="1">
      <alignment horizontal="left" vertical="center"/>
    </xf>
    <xf numFmtId="0" fontId="38" fillId="0" borderId="36" xfId="0" applyFont="1" applyBorder="1" applyAlignment="1">
      <alignment horizontal="left" vertical="center"/>
    </xf>
    <xf numFmtId="0" fontId="1" fillId="11" borderId="45" xfId="0" applyFont="1" applyFill="1" applyBorder="1" applyAlignment="1">
      <alignment horizontal="left" vertical="center" wrapText="1"/>
    </xf>
    <xf numFmtId="0" fontId="38" fillId="11" borderId="45" xfId="56" applyFont="1" applyFill="1" applyBorder="1" applyAlignment="1">
      <alignment horizontal="left" vertical="center"/>
    </xf>
    <xf numFmtId="0" fontId="1" fillId="11" borderId="42" xfId="0" applyFont="1" applyFill="1" applyBorder="1" applyAlignment="1">
      <alignment horizontal="left" vertical="center"/>
    </xf>
    <xf numFmtId="40" fontId="38" fillId="11" borderId="45" xfId="0" applyNumberFormat="1" applyFont="1" applyFill="1" applyBorder="1" applyAlignment="1">
      <alignment horizontal="left" vertical="center"/>
    </xf>
    <xf numFmtId="0" fontId="38" fillId="11" borderId="36" xfId="0" applyFont="1" applyFill="1" applyBorder="1" applyAlignment="1">
      <alignment horizontal="left" vertical="center"/>
    </xf>
    <xf numFmtId="0" fontId="38" fillId="5" borderId="42" xfId="0" applyFont="1" applyFill="1" applyBorder="1" applyAlignment="1">
      <alignment horizontal="left" vertical="center"/>
    </xf>
    <xf numFmtId="0" fontId="1" fillId="5" borderId="45" xfId="0" applyFont="1" applyFill="1" applyBorder="1" applyAlignment="1">
      <alignment horizontal="left" vertical="center" wrapText="1"/>
    </xf>
    <xf numFmtId="4" fontId="34" fillId="7" borderId="36" xfId="55" applyFont="1" applyFill="1" applyBorder="1" applyAlignment="1">
      <alignment horizontal="left" vertical="center" wrapText="1"/>
    </xf>
    <xf numFmtId="0" fontId="38" fillId="11" borderId="36" xfId="56" applyFont="1" applyFill="1" applyBorder="1" applyAlignment="1">
      <alignment horizontal="left" vertical="center"/>
    </xf>
    <xf numFmtId="4" fontId="38" fillId="11" borderId="36" xfId="55" applyFont="1" applyFill="1" applyBorder="1" applyAlignment="1">
      <alignment horizontal="left" vertical="center" wrapText="1"/>
    </xf>
    <xf numFmtId="0" fontId="38" fillId="11" borderId="36" xfId="56" applyFont="1" applyFill="1" applyBorder="1" applyAlignment="1">
      <alignment horizontal="left"/>
    </xf>
    <xf numFmtId="0" fontId="1" fillId="11" borderId="45" xfId="56" applyFont="1" applyFill="1" applyBorder="1" applyAlignment="1">
      <alignment horizontal="left" vertical="center"/>
    </xf>
    <xf numFmtId="4" fontId="34" fillId="11" borderId="42" xfId="55" applyFont="1" applyFill="1" applyBorder="1" applyAlignment="1">
      <alignment horizontal="left" vertical="center" wrapText="1"/>
    </xf>
    <xf numFmtId="40" fontId="38" fillId="11" borderId="45" xfId="55" applyNumberFormat="1" applyFont="1" applyFill="1" applyBorder="1" applyAlignment="1">
      <alignment horizontal="left" vertical="center"/>
    </xf>
    <xf numFmtId="0" fontId="1" fillId="5" borderId="45" xfId="0" applyFont="1" applyFill="1" applyBorder="1" applyAlignment="1">
      <alignment horizontal="left" vertical="center"/>
    </xf>
    <xf numFmtId="4" fontId="1" fillId="7" borderId="42" xfId="55" applyFont="1" applyFill="1" applyBorder="1" applyAlignment="1">
      <alignment horizontal="left" vertical="center"/>
    </xf>
    <xf numFmtId="40" fontId="38" fillId="2" borderId="45" xfId="55" applyNumberFormat="1" applyFont="1" applyFill="1" applyBorder="1" applyAlignment="1">
      <alignment horizontal="left" vertical="center"/>
    </xf>
    <xf numFmtId="4" fontId="38" fillId="7" borderId="42" xfId="55" applyFont="1" applyFill="1" applyBorder="1" applyAlignment="1">
      <alignment horizontal="left" vertical="center"/>
    </xf>
    <xf numFmtId="3" fontId="1" fillId="11" borderId="45" xfId="55" applyNumberFormat="1" applyFont="1" applyFill="1" applyBorder="1" applyAlignment="1">
      <alignment horizontal="left" vertical="center" wrapText="1"/>
    </xf>
    <xf numFmtId="0" fontId="38" fillId="11" borderId="37" xfId="56" applyFont="1" applyFill="1" applyBorder="1" applyAlignment="1">
      <alignment horizontal="left" vertical="center"/>
    </xf>
    <xf numFmtId="4" fontId="38" fillId="11" borderId="36" xfId="55" applyFont="1" applyFill="1" applyBorder="1" applyAlignment="1">
      <alignment horizontal="left" vertical="center"/>
    </xf>
    <xf numFmtId="3" fontId="1" fillId="5" borderId="45" xfId="55" applyNumberFormat="1" applyFont="1" applyFill="1" applyBorder="1" applyAlignment="1">
      <alignment horizontal="left" vertical="center" wrapText="1"/>
    </xf>
    <xf numFmtId="3" fontId="38" fillId="11" borderId="45" xfId="55" applyNumberFormat="1" applyFont="1" applyFill="1" applyBorder="1" applyAlignment="1">
      <alignment horizontal="left" vertical="center" wrapText="1"/>
    </xf>
    <xf numFmtId="4" fontId="1" fillId="7" borderId="36" xfId="55" applyFont="1" applyFill="1" applyBorder="1" applyAlignment="1">
      <alignment horizontal="left" vertical="center"/>
    </xf>
    <xf numFmtId="40" fontId="38" fillId="2" borderId="37" xfId="55" applyNumberFormat="1" applyFont="1" applyFill="1" applyBorder="1" applyAlignment="1">
      <alignment horizontal="left" vertical="center"/>
    </xf>
    <xf numFmtId="4" fontId="38" fillId="12" borderId="36" xfId="55" applyFont="1" applyFill="1" applyBorder="1" applyAlignment="1">
      <alignment horizontal="left" vertical="center"/>
    </xf>
    <xf numFmtId="4" fontId="1" fillId="12" borderId="36" xfId="55" applyFont="1" applyFill="1" applyBorder="1" applyAlignment="1">
      <alignment horizontal="left" vertical="center"/>
    </xf>
    <xf numFmtId="3" fontId="38" fillId="11" borderId="83" xfId="55" applyNumberFormat="1" applyFont="1" applyFill="1" applyBorder="1" applyAlignment="1">
      <alignment horizontal="left" vertical="center" wrapText="1"/>
    </xf>
    <xf numFmtId="0" fontId="38" fillId="11" borderId="84" xfId="56" applyFont="1" applyFill="1" applyBorder="1" applyAlignment="1">
      <alignment horizontal="left" vertical="center"/>
    </xf>
    <xf numFmtId="40" fontId="38" fillId="11" borderId="85" xfId="55" applyNumberFormat="1" applyFont="1" applyFill="1" applyBorder="1" applyAlignment="1">
      <alignment horizontal="left" vertical="center"/>
    </xf>
    <xf numFmtId="3" fontId="38" fillId="11" borderId="84" xfId="55" applyNumberFormat="1" applyFont="1" applyFill="1" applyBorder="1" applyAlignment="1">
      <alignment horizontal="left" vertical="center" wrapText="1"/>
    </xf>
    <xf numFmtId="0" fontId="1" fillId="11" borderId="84" xfId="56" applyFont="1" applyFill="1" applyBorder="1" applyAlignment="1">
      <alignment horizontal="left" vertical="center"/>
    </xf>
    <xf numFmtId="4" fontId="1" fillId="11" borderId="84" xfId="55" applyFont="1" applyFill="1" applyBorder="1" applyAlignment="1">
      <alignment horizontal="left" vertical="center"/>
    </xf>
    <xf numFmtId="4" fontId="38" fillId="0" borderId="0" xfId="55" applyFont="1" applyAlignment="1">
      <alignment horizontal="left" vertical="center"/>
    </xf>
    <xf numFmtId="40" fontId="38" fillId="0" borderId="0" xfId="55" applyNumberFormat="1" applyFont="1" applyAlignment="1">
      <alignment horizontal="left" vertical="center"/>
    </xf>
    <xf numFmtId="0" fontId="38" fillId="0" borderId="0" xfId="56" applyFont="1" applyAlignment="1">
      <alignment horizontal="left"/>
    </xf>
    <xf numFmtId="0" fontId="51" fillId="0" borderId="0" xfId="52" applyFont="1" applyAlignment="1" applyProtection="1">
      <alignment horizontal="center" vertical="center" wrapText="1"/>
      <protection locked="0"/>
    </xf>
    <xf numFmtId="0" fontId="57" fillId="5" borderId="0" xfId="0" applyFont="1" applyFill="1" applyAlignment="1" applyProtection="1">
      <alignment horizontal="center" vertical="center"/>
      <protection locked="0"/>
    </xf>
    <xf numFmtId="0" fontId="41" fillId="10" borderId="37" xfId="52" applyFont="1" applyFill="1" applyBorder="1" applyAlignment="1" applyProtection="1">
      <alignment horizontal="center"/>
      <protection locked="0"/>
    </xf>
    <xf numFmtId="0" fontId="41" fillId="10" borderId="39" xfId="52" applyFont="1" applyFill="1" applyBorder="1" applyAlignment="1" applyProtection="1">
      <alignment horizontal="center"/>
      <protection locked="0"/>
    </xf>
    <xf numFmtId="0" fontId="41" fillId="10" borderId="74" xfId="52" applyFont="1" applyFill="1" applyBorder="1" applyAlignment="1" applyProtection="1">
      <alignment horizontal="center"/>
      <protection locked="0"/>
    </xf>
    <xf numFmtId="0" fontId="41" fillId="10" borderId="75" xfId="52" applyFont="1" applyFill="1" applyBorder="1" applyAlignment="1" applyProtection="1">
      <alignment horizontal="center"/>
      <protection locked="0"/>
    </xf>
    <xf numFmtId="0" fontId="48" fillId="0" borderId="67" xfId="52" applyFont="1" applyBorder="1" applyAlignment="1" applyProtection="1">
      <alignment horizontal="center" vertical="center" wrapText="1"/>
      <protection locked="0"/>
    </xf>
    <xf numFmtId="0" fontId="49" fillId="0" borderId="68" xfId="52" applyFont="1" applyBorder="1" applyAlignment="1" applyProtection="1">
      <alignment horizontal="center" vertical="center" wrapText="1"/>
      <protection locked="0"/>
    </xf>
    <xf numFmtId="0" fontId="49" fillId="0" borderId="69" xfId="52" applyFont="1" applyBorder="1" applyAlignment="1" applyProtection="1">
      <alignment horizontal="center" vertical="center" wrapText="1"/>
      <protection locked="0"/>
    </xf>
    <xf numFmtId="0" fontId="48" fillId="0" borderId="76" xfId="52" applyFont="1" applyBorder="1" applyAlignment="1" applyProtection="1">
      <alignment horizontal="center" vertical="center" wrapText="1"/>
      <protection locked="0"/>
    </xf>
    <xf numFmtId="0" fontId="48" fillId="0" borderId="35" xfId="52" applyFont="1" applyBorder="1" applyAlignment="1" applyProtection="1">
      <alignment horizontal="center" vertical="center" wrapText="1"/>
      <protection locked="0"/>
    </xf>
    <xf numFmtId="0" fontId="48" fillId="0" borderId="81" xfId="52" applyFont="1" applyBorder="1" applyAlignment="1" applyProtection="1">
      <alignment horizontal="center" vertical="center" wrapText="1"/>
      <protection locked="0"/>
    </xf>
    <xf numFmtId="0" fontId="74" fillId="0" borderId="79" xfId="52" applyBorder="1" applyAlignment="1" applyProtection="1">
      <alignment horizontal="left" vertical="center" wrapText="1"/>
      <protection locked="0"/>
    </xf>
    <xf numFmtId="0" fontId="41" fillId="10" borderId="37" xfId="43" applyFont="1" applyFill="1" applyBorder="1" applyAlignment="1" applyProtection="1">
      <alignment horizontal="center"/>
      <protection locked="0"/>
    </xf>
    <xf numFmtId="0" fontId="41" fillId="10" borderId="39" xfId="43" applyFont="1" applyFill="1" applyBorder="1" applyAlignment="1" applyProtection="1">
      <alignment horizontal="center"/>
      <protection locked="0"/>
    </xf>
    <xf numFmtId="0" fontId="41" fillId="0" borderId="37" xfId="52" applyFont="1" applyBorder="1" applyAlignment="1" applyProtection="1">
      <alignment horizontal="center" vertical="center" wrapText="1"/>
      <protection locked="0"/>
    </xf>
    <xf numFmtId="0" fontId="41" fillId="0" borderId="39" xfId="52" applyFont="1" applyBorder="1" applyAlignment="1" applyProtection="1">
      <alignment horizontal="center" vertical="center" wrapText="1"/>
      <protection locked="0"/>
    </xf>
    <xf numFmtId="0" fontId="47" fillId="10" borderId="37" xfId="43" applyFont="1" applyFill="1" applyBorder="1" applyAlignment="1" applyProtection="1">
      <alignment horizontal="center"/>
      <protection locked="0"/>
    </xf>
    <xf numFmtId="0" fontId="39" fillId="0" borderId="35" xfId="52" applyFont="1" applyBorder="1" applyAlignment="1" applyProtection="1">
      <alignment horizontal="left"/>
      <protection locked="0"/>
    </xf>
    <xf numFmtId="0" fontId="43" fillId="0" borderId="0" xfId="52" applyFont="1" applyAlignment="1" applyProtection="1">
      <alignment horizontal="center"/>
      <protection locked="0"/>
    </xf>
    <xf numFmtId="0" fontId="45" fillId="0" borderId="0" xfId="52" applyFont="1" applyAlignment="1" applyProtection="1">
      <alignment horizontal="center"/>
      <protection locked="0"/>
    </xf>
    <xf numFmtId="0" fontId="74" fillId="0" borderId="66" xfId="46" applyBorder="1" applyAlignment="1" applyProtection="1">
      <alignment horizontal="center"/>
      <protection locked="0"/>
    </xf>
    <xf numFmtId="0" fontId="48" fillId="0" borderId="68" xfId="52" applyFont="1" applyBorder="1" applyAlignment="1" applyProtection="1">
      <alignment horizontal="center" vertical="center" wrapText="1"/>
      <protection locked="0"/>
    </xf>
    <xf numFmtId="0" fontId="48" fillId="0" borderId="69" xfId="52" applyFont="1" applyBorder="1" applyAlignment="1" applyProtection="1">
      <alignment horizontal="center" vertical="center" wrapText="1"/>
      <protection locked="0"/>
    </xf>
    <xf numFmtId="0" fontId="41" fillId="0" borderId="0" xfId="52" applyFont="1" applyAlignment="1" applyProtection="1">
      <alignment horizontal="center"/>
      <protection locked="0"/>
    </xf>
    <xf numFmtId="0" fontId="46" fillId="10" borderId="0" xfId="52" applyFont="1" applyFill="1" applyAlignment="1" applyProtection="1">
      <alignment horizontal="left" shrinkToFit="1"/>
      <protection locked="0"/>
    </xf>
    <xf numFmtId="0" fontId="46" fillId="10" borderId="35" xfId="52" applyFont="1" applyFill="1" applyBorder="1" applyAlignment="1" applyProtection="1">
      <alignment horizontal="left" shrinkToFit="1"/>
      <protection locked="0"/>
    </xf>
    <xf numFmtId="0" fontId="47" fillId="0" borderId="0" xfId="52" applyFont="1" applyAlignment="1" applyProtection="1">
      <alignment horizontal="center"/>
      <protection locked="0"/>
    </xf>
    <xf numFmtId="0" fontId="40" fillId="0" borderId="0" xfId="52" applyFont="1" applyAlignment="1" applyProtection="1">
      <alignment horizontal="left" shrinkToFit="1"/>
      <protection locked="0"/>
    </xf>
    <xf numFmtId="0" fontId="41" fillId="0" borderId="0" xfId="52" applyFont="1" applyAlignment="1" applyProtection="1">
      <alignment horizontal="left" shrinkToFit="1"/>
      <protection locked="0"/>
    </xf>
    <xf numFmtId="0" fontId="31" fillId="0" borderId="41" xfId="0" applyFont="1" applyBorder="1" applyAlignment="1">
      <alignment horizontal="left" vertical="center"/>
    </xf>
    <xf numFmtId="0" fontId="31" fillId="0" borderId="42" xfId="0" applyFont="1" applyBorder="1" applyAlignment="1">
      <alignment horizontal="left" vertical="center"/>
    </xf>
    <xf numFmtId="4" fontId="31" fillId="0" borderId="51" xfId="55" applyFont="1" applyBorder="1" applyAlignment="1" applyProtection="1">
      <alignment horizontal="left" vertical="center" wrapText="1"/>
      <protection locked="0"/>
    </xf>
    <xf numFmtId="4" fontId="31" fillId="0" borderId="40" xfId="55" applyFont="1" applyBorder="1" applyAlignment="1" applyProtection="1">
      <alignment horizontal="left" vertical="center" wrapText="1"/>
      <protection locked="0"/>
    </xf>
    <xf numFmtId="4" fontId="31" fillId="0" borderId="52" xfId="55" applyFont="1" applyBorder="1" applyAlignment="1" applyProtection="1">
      <alignment horizontal="left" vertical="center" wrapText="1"/>
      <protection locked="0"/>
    </xf>
    <xf numFmtId="4" fontId="31" fillId="0" borderId="45" xfId="55" applyFont="1" applyBorder="1" applyAlignment="1" applyProtection="1">
      <alignment horizontal="left" vertical="center" wrapText="1"/>
      <protection locked="0"/>
    </xf>
    <xf numFmtId="4" fontId="31" fillId="0" borderId="35" xfId="55" applyFont="1" applyBorder="1" applyAlignment="1" applyProtection="1">
      <alignment horizontal="left" vertical="center" wrapText="1"/>
      <protection locked="0"/>
    </xf>
    <xf numFmtId="4" fontId="31" fillId="0" borderId="54" xfId="55" applyFont="1" applyBorder="1" applyAlignment="1" applyProtection="1">
      <alignment horizontal="left" vertical="center" wrapText="1"/>
      <protection locked="0"/>
    </xf>
    <xf numFmtId="4" fontId="36" fillId="8" borderId="37" xfId="55" applyFont="1" applyFill="1" applyBorder="1" applyAlignment="1" applyProtection="1">
      <alignment horizontal="left" vertical="center" wrapText="1"/>
      <protection locked="0"/>
    </xf>
    <xf numFmtId="4" fontId="37" fillId="8" borderId="39" xfId="55" applyFont="1" applyFill="1" applyBorder="1" applyAlignment="1" applyProtection="1">
      <alignment horizontal="left" vertical="center" wrapText="1"/>
      <protection locked="0"/>
    </xf>
    <xf numFmtId="4" fontId="30" fillId="0" borderId="37" xfId="55" applyFont="1" applyBorder="1" applyAlignment="1" applyProtection="1">
      <alignment horizontal="left" vertical="center"/>
      <protection locked="0"/>
    </xf>
    <xf numFmtId="4" fontId="30" fillId="0" borderId="38" xfId="55" applyFont="1" applyBorder="1" applyAlignment="1" applyProtection="1">
      <alignment horizontal="left" vertical="center"/>
      <protection locked="0"/>
    </xf>
    <xf numFmtId="4" fontId="30" fillId="0" borderId="39" xfId="55" applyFont="1" applyBorder="1" applyAlignment="1" applyProtection="1">
      <alignment horizontal="left" vertical="center"/>
      <protection locked="0"/>
    </xf>
    <xf numFmtId="0" fontId="27" fillId="0" borderId="37" xfId="0" applyFont="1" applyBorder="1" applyAlignment="1">
      <alignment vertical="center" wrapText="1"/>
    </xf>
    <xf numFmtId="0" fontId="27" fillId="0" borderId="38" xfId="0" applyFont="1" applyBorder="1" applyAlignment="1">
      <alignment vertical="center" wrapText="1"/>
    </xf>
    <xf numFmtId="0" fontId="27" fillId="0" borderId="39" xfId="0" applyFont="1" applyBorder="1" applyAlignment="1">
      <alignment vertical="center" wrapText="1"/>
    </xf>
    <xf numFmtId="20" fontId="27" fillId="0" borderId="37" xfId="0" applyNumberFormat="1" applyFont="1" applyBorder="1" applyAlignment="1">
      <alignment vertical="center" wrapText="1"/>
    </xf>
    <xf numFmtId="20" fontId="27" fillId="0" borderId="38" xfId="0" applyNumberFormat="1" applyFont="1" applyBorder="1" applyAlignment="1">
      <alignment vertical="center" wrapText="1"/>
    </xf>
    <xf numFmtId="20" fontId="27" fillId="0" borderId="39" xfId="0" applyNumberFormat="1" applyFont="1" applyBorder="1" applyAlignment="1">
      <alignment vertical="center" wrapText="1"/>
    </xf>
    <xf numFmtId="4" fontId="31" fillId="0" borderId="41" xfId="55" applyFont="1" applyBorder="1" applyAlignment="1" applyProtection="1">
      <alignment horizontal="left" vertical="center" wrapText="1"/>
      <protection locked="0"/>
    </xf>
    <xf numFmtId="4" fontId="31" fillId="0" borderId="42" xfId="55" applyFont="1" applyBorder="1" applyAlignment="1" applyProtection="1">
      <alignment horizontal="left" vertical="center" wrapText="1"/>
      <protection locked="0"/>
    </xf>
    <xf numFmtId="0" fontId="27" fillId="0" borderId="37" xfId="55" applyNumberFormat="1" applyFont="1" applyBorder="1" applyAlignment="1" applyProtection="1">
      <alignment horizontal="left" vertical="center" shrinkToFit="1"/>
      <protection locked="0"/>
    </xf>
    <xf numFmtId="0" fontId="27" fillId="0" borderId="39" xfId="55" applyNumberFormat="1" applyFont="1" applyBorder="1" applyAlignment="1" applyProtection="1">
      <alignment horizontal="left" vertical="center" shrinkToFit="1"/>
      <protection locked="0"/>
    </xf>
    <xf numFmtId="4" fontId="34" fillId="7" borderId="37" xfId="55" applyFont="1" applyFill="1" applyBorder="1" applyAlignment="1" applyProtection="1">
      <alignment horizontal="center" vertical="center" wrapText="1"/>
      <protection locked="0"/>
    </xf>
    <xf numFmtId="4" fontId="30" fillId="7" borderId="39" xfId="55" applyFont="1" applyFill="1" applyBorder="1" applyAlignment="1" applyProtection="1">
      <alignment horizontal="center" vertical="center" wrapText="1"/>
      <protection locked="0"/>
    </xf>
    <xf numFmtId="4" fontId="31" fillId="0" borderId="37" xfId="55" applyFont="1" applyBorder="1" applyAlignment="1" applyProtection="1">
      <alignment horizontal="left" vertical="center"/>
      <protection locked="0"/>
    </xf>
    <xf numFmtId="4" fontId="31" fillId="0" borderId="38" xfId="55" applyFont="1" applyBorder="1" applyAlignment="1" applyProtection="1">
      <alignment horizontal="left" vertical="center"/>
      <protection locked="0"/>
    </xf>
    <xf numFmtId="4" fontId="31" fillId="0" borderId="39" xfId="55" applyFont="1" applyBorder="1" applyAlignment="1" applyProtection="1">
      <alignment horizontal="left" vertical="center"/>
      <protection locked="0"/>
    </xf>
    <xf numFmtId="4" fontId="32" fillId="0" borderId="0" xfId="55" applyFont="1" applyAlignment="1" applyProtection="1">
      <alignment horizontal="left" vertical="center"/>
      <protection locked="0"/>
    </xf>
    <xf numFmtId="4" fontId="24" fillId="0" borderId="0" xfId="55" applyFont="1" applyAlignment="1" applyProtection="1">
      <alignment horizontal="left" vertical="center"/>
      <protection locked="0"/>
    </xf>
    <xf numFmtId="4" fontId="24" fillId="0" borderId="0" xfId="55" applyFont="1" applyAlignment="1" applyProtection="1">
      <alignment horizontal="center" vertical="center"/>
      <protection locked="0"/>
    </xf>
    <xf numFmtId="4" fontId="7" fillId="0" borderId="0" xfId="55" applyFont="1" applyAlignment="1" applyProtection="1">
      <alignment horizontal="center" vertical="center"/>
      <protection locked="0"/>
    </xf>
    <xf numFmtId="4" fontId="33" fillId="0" borderId="0" xfId="55" applyFont="1" applyAlignment="1" applyProtection="1">
      <alignment horizontal="center" vertical="center"/>
      <protection locked="0"/>
    </xf>
    <xf numFmtId="0" fontId="27" fillId="0" borderId="37" xfId="0" applyFont="1" applyBorder="1" applyAlignment="1" applyProtection="1">
      <alignment vertical="center" wrapText="1"/>
      <protection locked="0"/>
    </xf>
    <xf numFmtId="0" fontId="27" fillId="0" borderId="38" xfId="0" applyFont="1" applyBorder="1" applyAlignment="1" applyProtection="1">
      <alignment vertical="center" wrapText="1"/>
      <protection locked="0"/>
    </xf>
    <xf numFmtId="0" fontId="27" fillId="0" borderId="39" xfId="0" applyFont="1" applyBorder="1" applyAlignment="1" applyProtection="1">
      <alignment vertical="center" wrapText="1"/>
      <protection locked="0"/>
    </xf>
    <xf numFmtId="4" fontId="31" fillId="0" borderId="50" xfId="55" applyFont="1" applyBorder="1" applyAlignment="1" applyProtection="1">
      <alignment horizontal="left" vertical="center" wrapText="1"/>
      <protection locked="0"/>
    </xf>
    <xf numFmtId="4" fontId="31" fillId="0" borderId="53" xfId="55" applyFont="1" applyBorder="1" applyAlignment="1" applyProtection="1">
      <alignment horizontal="left" vertical="center" wrapText="1"/>
      <protection locked="0"/>
    </xf>
    <xf numFmtId="0" fontId="31" fillId="0" borderId="63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4" fontId="30" fillId="0" borderId="56" xfId="55" applyFont="1" applyBorder="1" applyAlignment="1" applyProtection="1">
      <alignment horizontal="left" vertical="center"/>
      <protection locked="0"/>
    </xf>
    <xf numFmtId="4" fontId="30" fillId="0" borderId="57" xfId="55" applyFont="1" applyBorder="1" applyAlignment="1" applyProtection="1">
      <alignment horizontal="left" vertical="center"/>
      <protection locked="0"/>
    </xf>
    <xf numFmtId="4" fontId="30" fillId="0" borderId="58" xfId="55" applyFont="1" applyBorder="1" applyAlignment="1" applyProtection="1">
      <alignment horizontal="left" vertical="center"/>
      <protection locked="0"/>
    </xf>
    <xf numFmtId="0" fontId="27" fillId="0" borderId="37" xfId="55" applyNumberFormat="1" applyFont="1" applyBorder="1" applyAlignment="1">
      <alignment horizontal="left" vertical="center" shrinkToFit="1"/>
    </xf>
    <xf numFmtId="0" fontId="27" fillId="0" borderId="39" xfId="55" applyNumberFormat="1" applyFont="1" applyBorder="1" applyAlignment="1">
      <alignment horizontal="left" vertical="center" shrinkToFit="1"/>
    </xf>
    <xf numFmtId="4" fontId="34" fillId="7" borderId="37" xfId="55" applyFont="1" applyFill="1" applyBorder="1" applyAlignment="1">
      <alignment horizontal="center" vertical="center" wrapText="1"/>
    </xf>
    <xf numFmtId="4" fontId="30" fillId="7" borderId="39" xfId="55" applyFont="1" applyFill="1" applyBorder="1" applyAlignment="1">
      <alignment horizontal="center" vertical="center" wrapText="1"/>
    </xf>
    <xf numFmtId="4" fontId="32" fillId="0" borderId="47" xfId="55" applyFont="1" applyBorder="1" applyAlignment="1" applyProtection="1">
      <alignment horizontal="left" vertical="center"/>
      <protection locked="0"/>
    </xf>
    <xf numFmtId="4" fontId="24" fillId="0" borderId="48" xfId="55" applyFont="1" applyBorder="1" applyAlignment="1" applyProtection="1">
      <alignment horizontal="left" vertical="center"/>
      <protection locked="0"/>
    </xf>
    <xf numFmtId="4" fontId="24" fillId="0" borderId="14" xfId="55" applyFont="1" applyBorder="1" applyAlignment="1" applyProtection="1">
      <alignment horizontal="center" vertical="center"/>
      <protection locked="0"/>
    </xf>
    <xf numFmtId="4" fontId="7" fillId="0" borderId="14" xfId="55" applyFont="1" applyBorder="1" applyAlignment="1" applyProtection="1">
      <alignment horizontal="center" vertical="center"/>
      <protection locked="0"/>
    </xf>
    <xf numFmtId="164" fontId="29" fillId="0" borderId="37" xfId="0" applyNumberFormat="1" applyFont="1" applyBorder="1" applyAlignment="1">
      <alignment horizontal="center" vertical="center"/>
    </xf>
    <xf numFmtId="164" fontId="29" fillId="0" borderId="38" xfId="0" applyNumberFormat="1" applyFont="1" applyBorder="1" applyAlignment="1">
      <alignment horizontal="center" vertical="center"/>
    </xf>
    <xf numFmtId="164" fontId="29" fillId="0" borderId="39" xfId="0" applyNumberFormat="1" applyFont="1" applyBorder="1" applyAlignment="1">
      <alignment horizontal="center" vertical="center"/>
    </xf>
    <xf numFmtId="9" fontId="5" fillId="2" borderId="44" xfId="0" applyNumberFormat="1" applyFont="1" applyFill="1" applyBorder="1" applyAlignment="1">
      <alignment horizontal="center" vertical="center" wrapText="1"/>
    </xf>
    <xf numFmtId="9" fontId="5" fillId="2" borderId="45" xfId="0" applyNumberFormat="1" applyFont="1" applyFill="1" applyBorder="1" applyAlignment="1">
      <alignment horizontal="center" vertical="center" wrapText="1"/>
    </xf>
    <xf numFmtId="40" fontId="0" fillId="0" borderId="36" xfId="55" applyNumberFormat="1" applyFont="1" applyBorder="1" applyAlignment="1">
      <alignment horizontal="left" vertical="top"/>
    </xf>
    <xf numFmtId="0" fontId="0" fillId="0" borderId="41" xfId="55" applyNumberFormat="1" applyFont="1" applyBorder="1" applyAlignment="1">
      <alignment horizontal="left" vertical="top"/>
    </xf>
    <xf numFmtId="0" fontId="0" fillId="0" borderId="46" xfId="55" applyNumberFormat="1" applyFont="1" applyBorder="1" applyAlignment="1">
      <alignment horizontal="left" vertical="top"/>
    </xf>
    <xf numFmtId="0" fontId="0" fillId="0" borderId="42" xfId="55" applyNumberFormat="1" applyFont="1" applyBorder="1" applyAlignment="1">
      <alignment horizontal="left" vertical="top"/>
    </xf>
    <xf numFmtId="0" fontId="27" fillId="0" borderId="36" xfId="55" applyNumberFormat="1" applyFont="1" applyBorder="1" applyAlignment="1">
      <alignment horizontal="center" vertical="center" wrapText="1"/>
    </xf>
    <xf numFmtId="0" fontId="27" fillId="2" borderId="36" xfId="0" applyFont="1" applyFill="1" applyBorder="1" applyAlignment="1" applyProtection="1">
      <alignment horizontal="center" vertical="center" wrapText="1"/>
      <protection locked="0"/>
    </xf>
    <xf numFmtId="0" fontId="0" fillId="0" borderId="36" xfId="0" applyBorder="1" applyAlignment="1">
      <alignment horizontal="center" vertical="center" wrapText="1"/>
    </xf>
    <xf numFmtId="0" fontId="2" fillId="2" borderId="37" xfId="0" applyFont="1" applyFill="1" applyBorder="1" applyAlignment="1" applyProtection="1">
      <alignment horizontal="center" vertical="center" wrapText="1"/>
      <protection locked="0"/>
    </xf>
    <xf numFmtId="0" fontId="27" fillId="2" borderId="39" xfId="0" applyFont="1" applyFill="1" applyBorder="1" applyAlignment="1" applyProtection="1">
      <alignment horizontal="center" vertical="center" wrapText="1"/>
      <protection locked="0"/>
    </xf>
    <xf numFmtId="182" fontId="5" fillId="0" borderId="42" xfId="55" applyNumberFormat="1" applyFont="1" applyBorder="1" applyAlignment="1">
      <alignment horizontal="center" vertical="center" wrapText="1"/>
    </xf>
    <xf numFmtId="182" fontId="5" fillId="0" borderId="36" xfId="55" applyNumberFormat="1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4" fontId="27" fillId="0" borderId="37" xfId="55" applyFont="1" applyBorder="1" applyAlignment="1">
      <alignment horizontal="center" vertical="center" wrapText="1"/>
    </xf>
    <xf numFmtId="4" fontId="27" fillId="0" borderId="38" xfId="55" applyFont="1" applyBorder="1" applyAlignment="1">
      <alignment horizontal="center" vertical="center" wrapText="1"/>
    </xf>
    <xf numFmtId="4" fontId="27" fillId="0" borderId="39" xfId="55" applyFont="1" applyBorder="1" applyAlignment="1">
      <alignment horizontal="center" vertical="center" wrapText="1"/>
    </xf>
    <xf numFmtId="4" fontId="2" fillId="2" borderId="36" xfId="55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4" fontId="2" fillId="2" borderId="37" xfId="55" applyFont="1" applyFill="1" applyBorder="1" applyAlignment="1">
      <alignment horizontal="center" vertical="center"/>
    </xf>
    <xf numFmtId="4" fontId="27" fillId="2" borderId="39" xfId="55" applyFont="1" applyFill="1" applyBorder="1" applyAlignment="1">
      <alignment horizontal="center" vertical="center"/>
    </xf>
    <xf numFmtId="4" fontId="7" fillId="0" borderId="0" xfId="55" applyFont="1" applyAlignment="1">
      <alignment horizontal="center" vertical="center"/>
    </xf>
    <xf numFmtId="0" fontId="10" fillId="0" borderId="40" xfId="80" applyFont="1" applyBorder="1" applyAlignment="1">
      <alignment horizontal="left" vertical="center"/>
    </xf>
    <xf numFmtId="0" fontId="10" fillId="0" borderId="40" xfId="80" applyFont="1" applyBorder="1" applyAlignment="1">
      <alignment horizontal="center" vertical="center"/>
    </xf>
    <xf numFmtId="0" fontId="10" fillId="0" borderId="36" xfId="80" applyFont="1" applyBorder="1" applyAlignment="1">
      <alignment horizontal="center" vertical="center"/>
    </xf>
    <xf numFmtId="0" fontId="10" fillId="0" borderId="36" xfId="80" applyFont="1" applyBorder="1" applyAlignment="1">
      <alignment horizontal="center" vertical="center" wrapText="1"/>
    </xf>
    <xf numFmtId="0" fontId="22" fillId="6" borderId="36" xfId="0" applyFont="1" applyFill="1" applyBorder="1" applyAlignment="1">
      <alignment horizontal="center" vertical="center"/>
    </xf>
    <xf numFmtId="0" fontId="10" fillId="0" borderId="37" xfId="80" applyFont="1" applyBorder="1" applyAlignment="1">
      <alignment horizontal="center" vertical="center"/>
    </xf>
    <xf numFmtId="0" fontId="10" fillId="0" borderId="38" xfId="80" applyFont="1" applyBorder="1" applyAlignment="1">
      <alignment horizontal="center" vertical="center"/>
    </xf>
    <xf numFmtId="9" fontId="10" fillId="2" borderId="37" xfId="80" applyNumberFormat="1" applyFont="1" applyFill="1" applyBorder="1" applyAlignment="1">
      <alignment horizontal="center" vertical="center"/>
    </xf>
    <xf numFmtId="9" fontId="10" fillId="2" borderId="39" xfId="80" applyNumberFormat="1" applyFont="1" applyFill="1" applyBorder="1" applyAlignment="1">
      <alignment horizontal="center" vertical="center"/>
    </xf>
    <xf numFmtId="0" fontId="10" fillId="2" borderId="38" xfId="80" applyFont="1" applyFill="1" applyBorder="1" applyAlignment="1">
      <alignment horizontal="left" vertical="center" shrinkToFit="1"/>
    </xf>
    <xf numFmtId="0" fontId="10" fillId="2" borderId="39" xfId="80" applyFont="1" applyFill="1" applyBorder="1" applyAlignment="1">
      <alignment horizontal="left" vertical="center" shrinkToFit="1"/>
    </xf>
    <xf numFmtId="0" fontId="10" fillId="0" borderId="36" xfId="80" applyFont="1" applyBorder="1" applyAlignment="1">
      <alignment horizontal="left" vertical="center"/>
    </xf>
    <xf numFmtId="0" fontId="10" fillId="2" borderId="37" xfId="80" applyFont="1" applyFill="1" applyBorder="1" applyAlignment="1">
      <alignment horizontal="center" vertical="center" wrapText="1"/>
    </xf>
    <xf numFmtId="0" fontId="10" fillId="2" borderId="39" xfId="80" applyFont="1" applyFill="1" applyBorder="1" applyAlignment="1">
      <alignment horizontal="center" vertical="center" wrapText="1"/>
    </xf>
    <xf numFmtId="49" fontId="10" fillId="2" borderId="37" xfId="80" applyNumberFormat="1" applyFont="1" applyFill="1" applyBorder="1" applyAlignment="1">
      <alignment horizontal="center" vertical="center"/>
    </xf>
    <xf numFmtId="49" fontId="10" fillId="2" borderId="38" xfId="80" applyNumberFormat="1" applyFont="1" applyFill="1" applyBorder="1" applyAlignment="1">
      <alignment horizontal="center" vertical="center"/>
    </xf>
    <xf numFmtId="49" fontId="10" fillId="2" borderId="39" xfId="80" applyNumberFormat="1" applyFont="1" applyFill="1" applyBorder="1" applyAlignment="1">
      <alignment horizontal="center" vertical="center"/>
    </xf>
    <xf numFmtId="0" fontId="10" fillId="0" borderId="39" xfId="80" applyFont="1" applyBorder="1" applyAlignment="1">
      <alignment horizontal="center" vertical="center"/>
    </xf>
    <xf numFmtId="164" fontId="10" fillId="0" borderId="37" xfId="80" applyNumberFormat="1" applyFont="1" applyBorder="1" applyAlignment="1">
      <alignment horizontal="center" vertical="center"/>
    </xf>
    <xf numFmtId="164" fontId="10" fillId="0" borderId="38" xfId="80" applyNumberFormat="1" applyFont="1" applyBorder="1" applyAlignment="1">
      <alignment horizontal="center" vertical="center"/>
    </xf>
    <xf numFmtId="164" fontId="10" fillId="0" borderId="39" xfId="80" applyNumberFormat="1" applyFont="1" applyBorder="1" applyAlignment="1">
      <alignment horizontal="center" vertical="center"/>
    </xf>
    <xf numFmtId="0" fontId="10" fillId="0" borderId="37" xfId="80" applyFont="1" applyBorder="1" applyAlignment="1">
      <alignment horizontal="left" vertical="center"/>
    </xf>
    <xf numFmtId="0" fontId="10" fillId="0" borderId="38" xfId="80" applyFont="1" applyBorder="1" applyAlignment="1">
      <alignment horizontal="left" vertical="center"/>
    </xf>
    <xf numFmtId="0" fontId="10" fillId="0" borderId="39" xfId="80" applyFont="1" applyBorder="1" applyAlignment="1">
      <alignment horizontal="left" vertical="center"/>
    </xf>
    <xf numFmtId="49" fontId="10" fillId="0" borderId="36" xfId="80" applyNumberFormat="1" applyFont="1" applyBorder="1" applyAlignment="1">
      <alignment horizontal="left" vertical="center"/>
    </xf>
    <xf numFmtId="0" fontId="19" fillId="0" borderId="0" xfId="80" applyFont="1" applyAlignment="1">
      <alignment horizontal="center" vertical="center"/>
    </xf>
    <xf numFmtId="0" fontId="10" fillId="0" borderId="37" xfId="80" applyFont="1" applyBorder="1" applyAlignment="1">
      <alignment horizontal="center" vertical="center" wrapText="1"/>
    </xf>
    <xf numFmtId="0" fontId="10" fillId="0" borderId="38" xfId="80" applyFont="1" applyBorder="1" applyAlignment="1">
      <alignment horizontal="center" vertical="center" wrapText="1"/>
    </xf>
    <xf numFmtId="0" fontId="10" fillId="0" borderId="39" xfId="80" applyFont="1" applyBorder="1" applyAlignment="1">
      <alignment horizontal="center" vertical="center" wrapText="1"/>
    </xf>
    <xf numFmtId="0" fontId="12" fillId="2" borderId="37" xfId="80" applyFont="1" applyFill="1" applyBorder="1" applyAlignment="1">
      <alignment horizontal="center" vertical="center"/>
    </xf>
    <xf numFmtId="0" fontId="12" fillId="2" borderId="38" xfId="80" applyFont="1" applyFill="1" applyBorder="1" applyAlignment="1">
      <alignment horizontal="center" vertical="center"/>
    </xf>
    <xf numFmtId="0" fontId="12" fillId="2" borderId="39" xfId="80" applyFont="1" applyFill="1" applyBorder="1" applyAlignment="1">
      <alignment horizontal="center" vertical="center"/>
    </xf>
    <xf numFmtId="4" fontId="11" fillId="0" borderId="37" xfId="80" applyNumberFormat="1" applyFont="1" applyBorder="1" applyAlignment="1">
      <alignment horizontal="center" vertical="center"/>
    </xf>
    <xf numFmtId="0" fontId="11" fillId="0" borderId="39" xfId="80" applyFont="1" applyBorder="1" applyAlignment="1">
      <alignment horizontal="center" vertical="center"/>
    </xf>
    <xf numFmtId="181" fontId="10" fillId="0" borderId="37" xfId="80" applyNumberFormat="1" applyFont="1" applyBorder="1" applyAlignment="1">
      <alignment horizontal="center" vertical="center"/>
    </xf>
    <xf numFmtId="181" fontId="10" fillId="0" borderId="38" xfId="80" applyNumberFormat="1" applyFont="1" applyBorder="1" applyAlignment="1">
      <alignment horizontal="center" vertical="center"/>
    </xf>
    <xf numFmtId="181" fontId="10" fillId="0" borderId="39" xfId="80" applyNumberFormat="1" applyFont="1" applyBorder="1" applyAlignment="1">
      <alignment horizontal="center" vertical="center"/>
    </xf>
    <xf numFmtId="0" fontId="11" fillId="0" borderId="40" xfId="80" applyFont="1" applyBorder="1"/>
    <xf numFmtId="0" fontId="10" fillId="0" borderId="36" xfId="80" applyFont="1" applyBorder="1" applyAlignment="1">
      <alignment horizontal="left" vertical="center" wrapText="1"/>
    </xf>
    <xf numFmtId="0" fontId="10" fillId="0" borderId="37" xfId="80" applyFont="1" applyBorder="1" applyAlignment="1">
      <alignment horizontal="left" vertical="center" wrapText="1"/>
    </xf>
    <xf numFmtId="0" fontId="10" fillId="0" borderId="39" xfId="80" applyFont="1" applyBorder="1" applyAlignment="1">
      <alignment horizontal="left" vertical="center" wrapText="1"/>
    </xf>
    <xf numFmtId="0" fontId="10" fillId="0" borderId="38" xfId="80" applyFont="1" applyBorder="1" applyAlignment="1">
      <alignment horizontal="left" vertical="center" wrapText="1"/>
    </xf>
    <xf numFmtId="0" fontId="11" fillId="0" borderId="37" xfId="80" applyFont="1" applyBorder="1" applyAlignment="1">
      <alignment horizontal="left" vertical="center"/>
    </xf>
    <xf numFmtId="0" fontId="11" fillId="0" borderId="39" xfId="80" applyFont="1" applyBorder="1" applyAlignment="1">
      <alignment horizontal="left" vertical="center"/>
    </xf>
    <xf numFmtId="0" fontId="10" fillId="0" borderId="37" xfId="80" applyFont="1" applyBorder="1" applyAlignment="1">
      <alignment vertical="center"/>
    </xf>
    <xf numFmtId="0" fontId="10" fillId="0" borderId="39" xfId="80" applyFont="1" applyBorder="1" applyAlignment="1">
      <alignment vertical="center"/>
    </xf>
    <xf numFmtId="0" fontId="10" fillId="0" borderId="37" xfId="80" applyFont="1" applyBorder="1" applyAlignment="1">
      <alignment horizontal="right" vertical="center"/>
    </xf>
    <xf numFmtId="0" fontId="10" fillId="0" borderId="38" xfId="80" applyFont="1" applyBorder="1" applyAlignment="1">
      <alignment horizontal="right" vertical="center"/>
    </xf>
    <xf numFmtId="0" fontId="10" fillId="0" borderId="39" xfId="80" applyFont="1" applyBorder="1" applyAlignment="1">
      <alignment horizontal="right" vertical="center"/>
    </xf>
    <xf numFmtId="49" fontId="10" fillId="0" borderId="37" xfId="80" applyNumberFormat="1" applyFont="1" applyBorder="1" applyAlignment="1">
      <alignment horizontal="center" vertical="center"/>
    </xf>
    <xf numFmtId="49" fontId="10" fillId="0" borderId="38" xfId="80" applyNumberFormat="1" applyFont="1" applyBorder="1" applyAlignment="1">
      <alignment horizontal="center" vertical="center"/>
    </xf>
    <xf numFmtId="49" fontId="10" fillId="0" borderId="39" xfId="80" applyNumberFormat="1" applyFont="1" applyBorder="1" applyAlignment="1">
      <alignment horizontal="center" vertical="center"/>
    </xf>
    <xf numFmtId="9" fontId="10" fillId="0" borderId="37" xfId="80" applyNumberFormat="1" applyFont="1" applyBorder="1" applyAlignment="1">
      <alignment horizontal="left" vertical="center"/>
    </xf>
    <xf numFmtId="9" fontId="10" fillId="0" borderId="39" xfId="80" applyNumberFormat="1" applyFont="1" applyBorder="1" applyAlignment="1">
      <alignment horizontal="left" vertical="center"/>
    </xf>
    <xf numFmtId="0" fontId="10" fillId="0" borderId="38" xfId="80" applyFont="1" applyBorder="1" applyAlignment="1">
      <alignment horizontal="left" vertical="center" shrinkToFit="1"/>
    </xf>
    <xf numFmtId="0" fontId="10" fillId="0" borderId="39" xfId="80" applyFont="1" applyBorder="1" applyAlignment="1">
      <alignment horizontal="left" vertical="center" shrinkToFit="1"/>
    </xf>
    <xf numFmtId="0" fontId="10" fillId="0" borderId="0" xfId="8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6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left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0" borderId="9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78" fontId="0" fillId="2" borderId="10" xfId="0" applyNumberFormat="1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4" fontId="0" fillId="2" borderId="9" xfId="0" applyNumberForma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</cellXfs>
  <cellStyles count="81">
    <cellStyle name="_LD22-1-7" xfId="15" xr:uid="{00000000-0005-0000-0000-000038000000}"/>
    <cellStyle name="_LD22-1-7_1" xfId="13" xr:uid="{00000000-0005-0000-0000-000034000000}"/>
    <cellStyle name="_LD22-1-7_1 2" xfId="7" xr:uid="{00000000-0005-0000-0000-000019000000}"/>
    <cellStyle name="_ST24-1-1钻井工程预算" xfId="4" xr:uid="{00000000-0005-0000-0000-000012000000}"/>
    <cellStyle name="_ST24-1-1钻井工程预算 2" xfId="18" xr:uid="{00000000-0005-0000-0000-000042000000}"/>
    <cellStyle name="_W11-4D A1 A2 A3钻井工程预算2003-09-29(不可遇见费）" xfId="19" xr:uid="{00000000-0005-0000-0000-000043000000}"/>
    <cellStyle name="_W11-4D A1 A2 A3钻井工程预算2003-09-29(不可遇见费） 2" xfId="11" xr:uid="{00000000-0005-0000-0000-00002E000000}"/>
    <cellStyle name="_W12-1-A17b井钻完井时间和费用预算" xfId="20" xr:uid="{00000000-0005-0000-0000-000044000000}"/>
    <cellStyle name="_wzh11-1-2钻井预算" xfId="9" xr:uid="{00000000-0005-0000-0000-000026000000}"/>
    <cellStyle name="_wzh11-1-2钻井预算 2" xfId="1" xr:uid="{00000000-0005-0000-0000-00000B000000}"/>
    <cellStyle name="_wzh11-1-2钻井预算0" xfId="10" xr:uid="{00000000-0005-0000-0000-00002A000000}"/>
    <cellStyle name="_南堡1-7费用预算(含弃井计划）" xfId="5" xr:uid="{00000000-0005-0000-0000-000013000000}"/>
    <cellStyle name="_南堡1-7费用预算(含弃井计划） 2" xfId="17" xr:uid="{00000000-0005-0000-0000-000041000000}"/>
    <cellStyle name="_钻井预算" xfId="21" xr:uid="{00000000-0005-0000-0000-000045000000}"/>
    <cellStyle name="10/16" xfId="22" xr:uid="{00000000-0005-0000-0000-000046000000}"/>
    <cellStyle name="comma-d" xfId="23" xr:uid="{00000000-0005-0000-0000-000049000000}"/>
    <cellStyle name="DATACOPY" xfId="24" xr:uid="{00000000-0005-0000-0000-00004B000000}"/>
    <cellStyle name="DATAFIELDS" xfId="25" xr:uid="{00000000-0005-0000-0000-00004C000000}"/>
    <cellStyle name="Grey" xfId="26" xr:uid="{00000000-0005-0000-0000-00004D000000}"/>
    <cellStyle name="Input [yellow]" xfId="27" xr:uid="{00000000-0005-0000-0000-00004E000000}"/>
    <cellStyle name="Invisible" xfId="28" xr:uid="{00000000-0005-0000-0000-00004F000000}"/>
    <cellStyle name="Millares [0]_Well Timing" xfId="29" xr:uid="{00000000-0005-0000-0000-000050000000}"/>
    <cellStyle name="Millares_Well Timing" xfId="30" xr:uid="{00000000-0005-0000-0000-000051000000}"/>
    <cellStyle name="Moneda [0]_Well Timing" xfId="31" xr:uid="{00000000-0005-0000-0000-000052000000}"/>
    <cellStyle name="Moneda_Well Timing" xfId="33" xr:uid="{00000000-0005-0000-0000-000054000000}"/>
    <cellStyle name="no dec" xfId="34" xr:uid="{00000000-0005-0000-0000-000055000000}"/>
    <cellStyle name="Normal" xfId="0" builtinId="0"/>
    <cellStyle name="Normal - Style1" xfId="35" xr:uid="{00000000-0005-0000-0000-000056000000}"/>
    <cellStyle name="Normal 4 2 2" xfId="79" xr:uid="{00000000-0005-0000-0000-000083000000}"/>
    <cellStyle name="Normal 6" xfId="80" xr:uid="{00000000-0005-0000-0000-000084000000}"/>
    <cellStyle name="Œ…‹æØ‚è [0.00]_Sheet1" xfId="36" xr:uid="{00000000-0005-0000-0000-000058000000}"/>
    <cellStyle name="Œ…‹æØ‚è_Sheet1" xfId="37" xr:uid="{00000000-0005-0000-0000-000059000000}"/>
    <cellStyle name="Percent" xfId="2" builtinId="5"/>
    <cellStyle name="Percent [2]" xfId="39" xr:uid="{00000000-0005-0000-0000-00005B000000}"/>
    <cellStyle name="PRINTFIELD" xfId="40" xr:uid="{00000000-0005-0000-0000-00005C000000}"/>
    <cellStyle name="RowLevel_0" xfId="41" xr:uid="{00000000-0005-0000-0000-00005D000000}"/>
    <cellStyle name="Shaded" xfId="42" xr:uid="{00000000-0005-0000-0000-00005E000000}"/>
    <cellStyle name="Special" xfId="44" xr:uid="{00000000-0005-0000-0000-000060000000}"/>
    <cellStyle name="Visible" xfId="45" xr:uid="{00000000-0005-0000-0000-000061000000}"/>
    <cellStyle name="千位[0]_ 4(6)漏失试验" xfId="6" xr:uid="{00000000-0005-0000-0000-000017000000}"/>
    <cellStyle name="千位_ 4(6)漏失试验" xfId="74" xr:uid="{00000000-0005-0000-0000-00007E000000}"/>
    <cellStyle name="千分位[0]_ 06漏失试验" xfId="72" xr:uid="{00000000-0005-0000-0000-00007C000000}"/>
    <cellStyle name="千分位_ 06漏失试验" xfId="73" xr:uid="{00000000-0005-0000-0000-00007D000000}"/>
    <cellStyle name="吾睇開pldt" xfId="75" xr:uid="{00000000-0005-0000-0000-00007F000000}"/>
    <cellStyle name="常规 12" xfId="46" xr:uid="{00000000-0005-0000-0000-000062000000}"/>
    <cellStyle name="常规 12 2" xfId="48" xr:uid="{00000000-0005-0000-0000-000064000000}"/>
    <cellStyle name="常规 2" xfId="50" xr:uid="{00000000-0005-0000-0000-000066000000}"/>
    <cellStyle name="常规 2 2" xfId="51" xr:uid="{00000000-0005-0000-0000-000067000000}"/>
    <cellStyle name="常规 2 3 2" xfId="52" xr:uid="{00000000-0005-0000-0000-000068000000}"/>
    <cellStyle name="常规 2 3 2 2" xfId="43" xr:uid="{00000000-0005-0000-0000-00005F000000}"/>
    <cellStyle name="常规 2 3 3" xfId="53" xr:uid="{00000000-0005-0000-0000-000069000000}"/>
    <cellStyle name="常规 2 3 3 2" xfId="54" xr:uid="{00000000-0005-0000-0000-00006A000000}"/>
    <cellStyle name="常规 3" xfId="32" xr:uid="{00000000-0005-0000-0000-000053000000}"/>
    <cellStyle name="常规_LD27-2-7WELL13DES" xfId="47" xr:uid="{00000000-0005-0000-0000-000063000000}"/>
    <cellStyle name="常规_LD27-2-7WELL13DES 2" xfId="49" xr:uid="{00000000-0005-0000-0000-000065000000}"/>
    <cellStyle name="常规_NP1-6泥浆收费单格式" xfId="55" xr:uid="{00000000-0005-0000-0000-00006B000000}"/>
    <cellStyle name="常规_Sheet1" xfId="56" xr:uid="{00000000-0005-0000-0000-00006C000000}"/>
    <cellStyle name="常规_应收帐款管理细则附件" xfId="57" xr:uid="{00000000-0005-0000-0000-00006D000000}"/>
    <cellStyle name="普通_09钻具组合" xfId="61" xr:uid="{00000000-0005-0000-0000-000071000000}"/>
    <cellStyle name="普通-00井史封面" xfId="62" xr:uid="{00000000-0005-0000-0000-000072000000}"/>
    <cellStyle name="普通-00井史目录" xfId="63" xr:uid="{00000000-0005-0000-0000-000073000000}"/>
    <cellStyle name="普通-01井史概述" xfId="38" xr:uid="{00000000-0005-0000-0000-00005A000000}"/>
    <cellStyle name="普通-02井况数据" xfId="64" xr:uid="{00000000-0005-0000-0000-000074000000}"/>
    <cellStyle name="普通-03锚泊定位" xfId="12" xr:uid="{00000000-0005-0000-0000-000031000000}"/>
    <cellStyle name="普通-04井口装置" xfId="65" xr:uid="{00000000-0005-0000-0000-000075000000}"/>
    <cellStyle name="普通-06地层描述" xfId="66" xr:uid="{00000000-0005-0000-0000-000076000000}"/>
    <cellStyle name="普通-07钻井井身" xfId="67" xr:uid="{00000000-0005-0000-0000-000077000000}"/>
    <cellStyle name="普通-08弃井井身" xfId="8" xr:uid="{00000000-0005-0000-0000-00001C000000}"/>
    <cellStyle name="普通-09钻具组合" xfId="68" xr:uid="{00000000-0005-0000-0000-000078000000}"/>
    <cellStyle name="普通-10钻头记录" xfId="3" xr:uid="{00000000-0005-0000-0000-000010000000}"/>
    <cellStyle name="普通-11取芯记录" xfId="69" xr:uid="{00000000-0005-0000-0000-000079000000}"/>
    <cellStyle name="普通-12套管记录" xfId="70" xr:uid="{00000000-0005-0000-0000-00007A000000}"/>
    <cellStyle name="普通-13固井水泥" xfId="14" xr:uid="{00000000-0005-0000-0000-000037000000}"/>
    <cellStyle name="普通-14固井质量" xfId="71" xr:uid="{00000000-0005-0000-0000-00007B000000}"/>
    <cellStyle name="样式 1" xfId="76" xr:uid="{00000000-0005-0000-0000-000080000000}"/>
    <cellStyle name="澡磬眈钼 [0]_pldt" xfId="77" xr:uid="{00000000-0005-0000-0000-000081000000}"/>
    <cellStyle name="澡磬眈钼_pldt" xfId="78" xr:uid="{00000000-0005-0000-0000-000082000000}"/>
    <cellStyle name="腻礤骓 [0]_pldt" xfId="16" xr:uid="{00000000-0005-0000-0000-00003D000000}"/>
    <cellStyle name="腻礤骓_pldt" xfId="60" xr:uid="{00000000-0005-0000-0000-000070000000}"/>
    <cellStyle name="䅀" xfId="58" xr:uid="{00000000-0005-0000-0000-00006E000000}"/>
    <cellStyle name="䅀 2" xfId="59" xr:uid="{00000000-0005-0000-0000-00006F000000}"/>
  </cellStyles>
  <dxfs count="4">
    <dxf>
      <font>
        <b/>
        <i val="0"/>
        <strike val="0"/>
        <color rgb="FFC00000"/>
      </font>
      <fill>
        <patternFill patternType="solid">
          <bgColor rgb="FFFFFF00"/>
        </patternFill>
      </fill>
    </dxf>
    <dxf>
      <font>
        <b/>
        <i val="0"/>
        <strike val="0"/>
        <color rgb="FFC00000"/>
      </font>
      <fill>
        <patternFill patternType="solid">
          <bgColor rgb="FFFFFF00"/>
        </patternFill>
      </fill>
    </dxf>
    <dxf>
      <font>
        <b/>
        <i val="0"/>
        <strike val="0"/>
        <color rgb="FF000000"/>
      </font>
      <fill>
        <patternFill patternType="solid">
          <bgColor rgb="FFC0000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FFDAEEF3"/>
      <color rgb="FFF2DCDB"/>
      <color rgb="FFE6B8B7"/>
      <color rgb="FFFFCC99"/>
      <color rgb="FFFFFF00"/>
      <color rgb="FFCCFFCC"/>
      <color rgb="FFEBF1DE"/>
      <color rgb="FFFFFFFF"/>
      <color rgb="FFFF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09" name="Picture 13">
          <a:extLst>
            <a:ext uri="{FF2B5EF4-FFF2-40B4-BE49-F238E27FC236}">
              <a16:creationId xmlns:a16="http://schemas.microsoft.com/office/drawing/2014/main" id="{00000000-0008-0000-0200-00003D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0" name="Picture 13">
          <a:extLst>
            <a:ext uri="{FF2B5EF4-FFF2-40B4-BE49-F238E27FC236}">
              <a16:creationId xmlns:a16="http://schemas.microsoft.com/office/drawing/2014/main" id="{00000000-0008-0000-0200-00003E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1" name="Picture 13">
          <a:extLst>
            <a:ext uri="{FF2B5EF4-FFF2-40B4-BE49-F238E27FC236}">
              <a16:creationId xmlns:a16="http://schemas.microsoft.com/office/drawing/2014/main" id="{00000000-0008-0000-0200-00003F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2" name="Picture 13">
          <a:extLst>
            <a:ext uri="{FF2B5EF4-FFF2-40B4-BE49-F238E27FC236}">
              <a16:creationId xmlns:a16="http://schemas.microsoft.com/office/drawing/2014/main" id="{00000000-0008-0000-0200-000040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3" name="Picture 13">
          <a:extLst>
            <a:ext uri="{FF2B5EF4-FFF2-40B4-BE49-F238E27FC236}">
              <a16:creationId xmlns:a16="http://schemas.microsoft.com/office/drawing/2014/main" id="{00000000-0008-0000-0200-000041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4" name="Picture 13">
          <a:extLst>
            <a:ext uri="{FF2B5EF4-FFF2-40B4-BE49-F238E27FC236}">
              <a16:creationId xmlns:a16="http://schemas.microsoft.com/office/drawing/2014/main" id="{00000000-0008-0000-0200-000042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5" name="Picture 13">
          <a:extLst>
            <a:ext uri="{FF2B5EF4-FFF2-40B4-BE49-F238E27FC236}">
              <a16:creationId xmlns:a16="http://schemas.microsoft.com/office/drawing/2014/main" id="{00000000-0008-0000-0200-000043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6" name="Picture 13">
          <a:extLst>
            <a:ext uri="{FF2B5EF4-FFF2-40B4-BE49-F238E27FC236}">
              <a16:creationId xmlns:a16="http://schemas.microsoft.com/office/drawing/2014/main" id="{00000000-0008-0000-0200-000044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7" name="Picture 13">
          <a:extLst>
            <a:ext uri="{FF2B5EF4-FFF2-40B4-BE49-F238E27FC236}">
              <a16:creationId xmlns:a16="http://schemas.microsoft.com/office/drawing/2014/main" id="{00000000-0008-0000-0200-000045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8" name="Picture 13">
          <a:extLst>
            <a:ext uri="{FF2B5EF4-FFF2-40B4-BE49-F238E27FC236}">
              <a16:creationId xmlns:a16="http://schemas.microsoft.com/office/drawing/2014/main" id="{00000000-0008-0000-0200-000046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19" name="Picture 13">
          <a:extLst>
            <a:ext uri="{FF2B5EF4-FFF2-40B4-BE49-F238E27FC236}">
              <a16:creationId xmlns:a16="http://schemas.microsoft.com/office/drawing/2014/main" id="{00000000-0008-0000-0200-000047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0" name="Picture 13">
          <a:extLst>
            <a:ext uri="{FF2B5EF4-FFF2-40B4-BE49-F238E27FC236}">
              <a16:creationId xmlns:a16="http://schemas.microsoft.com/office/drawing/2014/main" id="{00000000-0008-0000-0200-000048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1" name="Picture 13">
          <a:extLst>
            <a:ext uri="{FF2B5EF4-FFF2-40B4-BE49-F238E27FC236}">
              <a16:creationId xmlns:a16="http://schemas.microsoft.com/office/drawing/2014/main" id="{00000000-0008-0000-0200-000049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2" name="Picture 13">
          <a:extLst>
            <a:ext uri="{FF2B5EF4-FFF2-40B4-BE49-F238E27FC236}">
              <a16:creationId xmlns:a16="http://schemas.microsoft.com/office/drawing/2014/main" id="{00000000-0008-0000-0200-00004A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3" name="Picture 13">
          <a:extLst>
            <a:ext uri="{FF2B5EF4-FFF2-40B4-BE49-F238E27FC236}">
              <a16:creationId xmlns:a16="http://schemas.microsoft.com/office/drawing/2014/main" id="{00000000-0008-0000-0200-00004B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4" name="Picture 13">
          <a:extLst>
            <a:ext uri="{FF2B5EF4-FFF2-40B4-BE49-F238E27FC236}">
              <a16:creationId xmlns:a16="http://schemas.microsoft.com/office/drawing/2014/main" id="{00000000-0008-0000-0200-00004C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5" name="Picture 13">
          <a:extLst>
            <a:ext uri="{FF2B5EF4-FFF2-40B4-BE49-F238E27FC236}">
              <a16:creationId xmlns:a16="http://schemas.microsoft.com/office/drawing/2014/main" id="{00000000-0008-0000-0200-00004D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6" name="Picture 13">
          <a:extLst>
            <a:ext uri="{FF2B5EF4-FFF2-40B4-BE49-F238E27FC236}">
              <a16:creationId xmlns:a16="http://schemas.microsoft.com/office/drawing/2014/main" id="{00000000-0008-0000-0200-00004E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7" name="Picture 13">
          <a:extLst>
            <a:ext uri="{FF2B5EF4-FFF2-40B4-BE49-F238E27FC236}">
              <a16:creationId xmlns:a16="http://schemas.microsoft.com/office/drawing/2014/main" id="{00000000-0008-0000-0200-00004F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8" name="Picture 13">
          <a:extLst>
            <a:ext uri="{FF2B5EF4-FFF2-40B4-BE49-F238E27FC236}">
              <a16:creationId xmlns:a16="http://schemas.microsoft.com/office/drawing/2014/main" id="{00000000-0008-0000-0200-000050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29" name="Picture 13">
          <a:extLst>
            <a:ext uri="{FF2B5EF4-FFF2-40B4-BE49-F238E27FC236}">
              <a16:creationId xmlns:a16="http://schemas.microsoft.com/office/drawing/2014/main" id="{00000000-0008-0000-0200-000051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0" name="Picture 13">
          <a:extLst>
            <a:ext uri="{FF2B5EF4-FFF2-40B4-BE49-F238E27FC236}">
              <a16:creationId xmlns:a16="http://schemas.microsoft.com/office/drawing/2014/main" id="{00000000-0008-0000-0200-000052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1" name="Picture 13">
          <a:extLst>
            <a:ext uri="{FF2B5EF4-FFF2-40B4-BE49-F238E27FC236}">
              <a16:creationId xmlns:a16="http://schemas.microsoft.com/office/drawing/2014/main" id="{00000000-0008-0000-0200-000053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2" name="Picture 13">
          <a:extLst>
            <a:ext uri="{FF2B5EF4-FFF2-40B4-BE49-F238E27FC236}">
              <a16:creationId xmlns:a16="http://schemas.microsoft.com/office/drawing/2014/main" id="{00000000-0008-0000-0200-000054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3" name="Picture 13">
          <a:extLst>
            <a:ext uri="{FF2B5EF4-FFF2-40B4-BE49-F238E27FC236}">
              <a16:creationId xmlns:a16="http://schemas.microsoft.com/office/drawing/2014/main" id="{00000000-0008-0000-0200-000055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4" name="Picture 13">
          <a:extLst>
            <a:ext uri="{FF2B5EF4-FFF2-40B4-BE49-F238E27FC236}">
              <a16:creationId xmlns:a16="http://schemas.microsoft.com/office/drawing/2014/main" id="{00000000-0008-0000-0200-000056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5" name="Picture 13">
          <a:extLst>
            <a:ext uri="{FF2B5EF4-FFF2-40B4-BE49-F238E27FC236}">
              <a16:creationId xmlns:a16="http://schemas.microsoft.com/office/drawing/2014/main" id="{00000000-0008-0000-0200-000057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6" name="Picture 13">
          <a:extLst>
            <a:ext uri="{FF2B5EF4-FFF2-40B4-BE49-F238E27FC236}">
              <a16:creationId xmlns:a16="http://schemas.microsoft.com/office/drawing/2014/main" id="{00000000-0008-0000-0200-000058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7" name="Picture 13">
          <a:extLst>
            <a:ext uri="{FF2B5EF4-FFF2-40B4-BE49-F238E27FC236}">
              <a16:creationId xmlns:a16="http://schemas.microsoft.com/office/drawing/2014/main" id="{00000000-0008-0000-0200-000059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8" name="Picture 13">
          <a:extLst>
            <a:ext uri="{FF2B5EF4-FFF2-40B4-BE49-F238E27FC236}">
              <a16:creationId xmlns:a16="http://schemas.microsoft.com/office/drawing/2014/main" id="{00000000-0008-0000-0200-00005A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39" name="Picture 13">
          <a:extLst>
            <a:ext uri="{FF2B5EF4-FFF2-40B4-BE49-F238E27FC236}">
              <a16:creationId xmlns:a16="http://schemas.microsoft.com/office/drawing/2014/main" id="{00000000-0008-0000-0200-00005B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0" name="Picture 13">
          <a:extLst>
            <a:ext uri="{FF2B5EF4-FFF2-40B4-BE49-F238E27FC236}">
              <a16:creationId xmlns:a16="http://schemas.microsoft.com/office/drawing/2014/main" id="{00000000-0008-0000-0200-00005C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1" name="Picture 13">
          <a:extLst>
            <a:ext uri="{FF2B5EF4-FFF2-40B4-BE49-F238E27FC236}">
              <a16:creationId xmlns:a16="http://schemas.microsoft.com/office/drawing/2014/main" id="{00000000-0008-0000-0200-00005D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2" name="Picture 13">
          <a:extLst>
            <a:ext uri="{FF2B5EF4-FFF2-40B4-BE49-F238E27FC236}">
              <a16:creationId xmlns:a16="http://schemas.microsoft.com/office/drawing/2014/main" id="{00000000-0008-0000-0200-00005E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3" name="Picture 13">
          <a:extLst>
            <a:ext uri="{FF2B5EF4-FFF2-40B4-BE49-F238E27FC236}">
              <a16:creationId xmlns:a16="http://schemas.microsoft.com/office/drawing/2014/main" id="{00000000-0008-0000-0200-00005F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4" name="Picture 13">
          <a:extLst>
            <a:ext uri="{FF2B5EF4-FFF2-40B4-BE49-F238E27FC236}">
              <a16:creationId xmlns:a16="http://schemas.microsoft.com/office/drawing/2014/main" id="{00000000-0008-0000-0200-000060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5" name="Picture 13">
          <a:extLst>
            <a:ext uri="{FF2B5EF4-FFF2-40B4-BE49-F238E27FC236}">
              <a16:creationId xmlns:a16="http://schemas.microsoft.com/office/drawing/2014/main" id="{00000000-0008-0000-0200-000061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6" name="Picture 13">
          <a:extLst>
            <a:ext uri="{FF2B5EF4-FFF2-40B4-BE49-F238E27FC236}">
              <a16:creationId xmlns:a16="http://schemas.microsoft.com/office/drawing/2014/main" id="{00000000-0008-0000-0200-000062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7" name="Picture 13">
          <a:extLst>
            <a:ext uri="{FF2B5EF4-FFF2-40B4-BE49-F238E27FC236}">
              <a16:creationId xmlns:a16="http://schemas.microsoft.com/office/drawing/2014/main" id="{00000000-0008-0000-0200-000063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8" name="Picture 13">
          <a:extLst>
            <a:ext uri="{FF2B5EF4-FFF2-40B4-BE49-F238E27FC236}">
              <a16:creationId xmlns:a16="http://schemas.microsoft.com/office/drawing/2014/main" id="{00000000-0008-0000-0200-000064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1425575</xdr:colOff>
      <xdr:row>0</xdr:row>
      <xdr:rowOff>502920</xdr:rowOff>
    </xdr:to>
    <xdr:pic>
      <xdr:nvPicPr>
        <xdr:cNvPr id="654949" name="Picture 13">
          <a:extLst>
            <a:ext uri="{FF2B5EF4-FFF2-40B4-BE49-F238E27FC236}">
              <a16:creationId xmlns:a16="http://schemas.microsoft.com/office/drawing/2014/main" id="{00000000-0008-0000-0200-000065FE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424045" cy="5029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1956" name="Picture 15">
          <a:extLst>
            <a:ext uri="{FF2B5EF4-FFF2-40B4-BE49-F238E27FC236}">
              <a16:creationId xmlns:a16="http://schemas.microsoft.com/office/drawing/2014/main" id="{00000000-0008-0000-0300-0000D4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1957" name="Picture 16">
          <a:extLst>
            <a:ext uri="{FF2B5EF4-FFF2-40B4-BE49-F238E27FC236}">
              <a16:creationId xmlns:a16="http://schemas.microsoft.com/office/drawing/2014/main" id="{00000000-0008-0000-0300-0000D5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1958" name="Picture 36">
          <a:extLst>
            <a:ext uri="{FF2B5EF4-FFF2-40B4-BE49-F238E27FC236}">
              <a16:creationId xmlns:a16="http://schemas.microsoft.com/office/drawing/2014/main" id="{00000000-0008-0000-0300-0000D6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1959" name="Picture 37">
          <a:extLst>
            <a:ext uri="{FF2B5EF4-FFF2-40B4-BE49-F238E27FC236}">
              <a16:creationId xmlns:a16="http://schemas.microsoft.com/office/drawing/2014/main" id="{00000000-0008-0000-0300-0000D7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0" name="Picture 4">
          <a:extLst>
            <a:ext uri="{FF2B5EF4-FFF2-40B4-BE49-F238E27FC236}">
              <a16:creationId xmlns:a16="http://schemas.microsoft.com/office/drawing/2014/main" id="{00000000-0008-0000-0300-0000D8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1" name="Picture 5">
          <a:extLst>
            <a:ext uri="{FF2B5EF4-FFF2-40B4-BE49-F238E27FC236}">
              <a16:creationId xmlns:a16="http://schemas.microsoft.com/office/drawing/2014/main" id="{00000000-0008-0000-0300-0000D9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2" name="Picture 25">
          <a:extLst>
            <a:ext uri="{FF2B5EF4-FFF2-40B4-BE49-F238E27FC236}">
              <a16:creationId xmlns:a16="http://schemas.microsoft.com/office/drawing/2014/main" id="{00000000-0008-0000-0300-0000DA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3" name="Picture 26">
          <a:extLst>
            <a:ext uri="{FF2B5EF4-FFF2-40B4-BE49-F238E27FC236}">
              <a16:creationId xmlns:a16="http://schemas.microsoft.com/office/drawing/2014/main" id="{00000000-0008-0000-0300-0000DB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4" name="Picture 4">
          <a:extLst>
            <a:ext uri="{FF2B5EF4-FFF2-40B4-BE49-F238E27FC236}">
              <a16:creationId xmlns:a16="http://schemas.microsoft.com/office/drawing/2014/main" id="{00000000-0008-0000-0300-0000DC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5" name="Picture 5">
          <a:extLst>
            <a:ext uri="{FF2B5EF4-FFF2-40B4-BE49-F238E27FC236}">
              <a16:creationId xmlns:a16="http://schemas.microsoft.com/office/drawing/2014/main" id="{00000000-0008-0000-0300-0000DD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6" name="Picture 25">
          <a:extLst>
            <a:ext uri="{FF2B5EF4-FFF2-40B4-BE49-F238E27FC236}">
              <a16:creationId xmlns:a16="http://schemas.microsoft.com/office/drawing/2014/main" id="{00000000-0008-0000-0300-0000DE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7" name="Picture 26">
          <a:extLst>
            <a:ext uri="{FF2B5EF4-FFF2-40B4-BE49-F238E27FC236}">
              <a16:creationId xmlns:a16="http://schemas.microsoft.com/office/drawing/2014/main" id="{00000000-0008-0000-0300-0000DF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8" name="Picture 4">
          <a:extLst>
            <a:ext uri="{FF2B5EF4-FFF2-40B4-BE49-F238E27FC236}">
              <a16:creationId xmlns:a16="http://schemas.microsoft.com/office/drawing/2014/main" id="{00000000-0008-0000-0300-0000E0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69" name="Picture 5">
          <a:extLst>
            <a:ext uri="{FF2B5EF4-FFF2-40B4-BE49-F238E27FC236}">
              <a16:creationId xmlns:a16="http://schemas.microsoft.com/office/drawing/2014/main" id="{00000000-0008-0000-0300-0000E1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0" name="Picture 25">
          <a:extLst>
            <a:ext uri="{FF2B5EF4-FFF2-40B4-BE49-F238E27FC236}">
              <a16:creationId xmlns:a16="http://schemas.microsoft.com/office/drawing/2014/main" id="{00000000-0008-0000-0300-0000E2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1" name="Picture 26">
          <a:extLst>
            <a:ext uri="{FF2B5EF4-FFF2-40B4-BE49-F238E27FC236}">
              <a16:creationId xmlns:a16="http://schemas.microsoft.com/office/drawing/2014/main" id="{00000000-0008-0000-0300-0000E3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2" name="Picture 4">
          <a:extLst>
            <a:ext uri="{FF2B5EF4-FFF2-40B4-BE49-F238E27FC236}">
              <a16:creationId xmlns:a16="http://schemas.microsoft.com/office/drawing/2014/main" id="{00000000-0008-0000-0300-0000E4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3" name="Picture 5">
          <a:extLst>
            <a:ext uri="{FF2B5EF4-FFF2-40B4-BE49-F238E27FC236}">
              <a16:creationId xmlns:a16="http://schemas.microsoft.com/office/drawing/2014/main" id="{00000000-0008-0000-0300-0000E5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4" name="Picture 25">
          <a:extLst>
            <a:ext uri="{FF2B5EF4-FFF2-40B4-BE49-F238E27FC236}">
              <a16:creationId xmlns:a16="http://schemas.microsoft.com/office/drawing/2014/main" id="{00000000-0008-0000-0300-0000E6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5" name="Picture 26">
          <a:extLst>
            <a:ext uri="{FF2B5EF4-FFF2-40B4-BE49-F238E27FC236}">
              <a16:creationId xmlns:a16="http://schemas.microsoft.com/office/drawing/2014/main" id="{00000000-0008-0000-0300-0000E7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6" name="Picture 4">
          <a:extLst>
            <a:ext uri="{FF2B5EF4-FFF2-40B4-BE49-F238E27FC236}">
              <a16:creationId xmlns:a16="http://schemas.microsoft.com/office/drawing/2014/main" id="{00000000-0008-0000-0300-0000E8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7" name="Picture 5">
          <a:extLst>
            <a:ext uri="{FF2B5EF4-FFF2-40B4-BE49-F238E27FC236}">
              <a16:creationId xmlns:a16="http://schemas.microsoft.com/office/drawing/2014/main" id="{00000000-0008-0000-0300-0000E9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8" name="Picture 25">
          <a:extLst>
            <a:ext uri="{FF2B5EF4-FFF2-40B4-BE49-F238E27FC236}">
              <a16:creationId xmlns:a16="http://schemas.microsoft.com/office/drawing/2014/main" id="{00000000-0008-0000-0300-0000EA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79" name="Picture 26">
          <a:extLst>
            <a:ext uri="{FF2B5EF4-FFF2-40B4-BE49-F238E27FC236}">
              <a16:creationId xmlns:a16="http://schemas.microsoft.com/office/drawing/2014/main" id="{00000000-0008-0000-0300-0000EB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0" name="Picture 4">
          <a:extLst>
            <a:ext uri="{FF2B5EF4-FFF2-40B4-BE49-F238E27FC236}">
              <a16:creationId xmlns:a16="http://schemas.microsoft.com/office/drawing/2014/main" id="{00000000-0008-0000-0300-0000EC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1" name="Picture 5">
          <a:extLst>
            <a:ext uri="{FF2B5EF4-FFF2-40B4-BE49-F238E27FC236}">
              <a16:creationId xmlns:a16="http://schemas.microsoft.com/office/drawing/2014/main" id="{00000000-0008-0000-0300-0000ED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2" name="Picture 25">
          <a:extLst>
            <a:ext uri="{FF2B5EF4-FFF2-40B4-BE49-F238E27FC236}">
              <a16:creationId xmlns:a16="http://schemas.microsoft.com/office/drawing/2014/main" id="{00000000-0008-0000-0300-0000EE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3" name="Picture 26">
          <a:extLst>
            <a:ext uri="{FF2B5EF4-FFF2-40B4-BE49-F238E27FC236}">
              <a16:creationId xmlns:a16="http://schemas.microsoft.com/office/drawing/2014/main" id="{00000000-0008-0000-0300-0000EF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4" name="Picture 4">
          <a:extLst>
            <a:ext uri="{FF2B5EF4-FFF2-40B4-BE49-F238E27FC236}">
              <a16:creationId xmlns:a16="http://schemas.microsoft.com/office/drawing/2014/main" id="{00000000-0008-0000-0300-0000F0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5" name="Picture 5">
          <a:extLst>
            <a:ext uri="{FF2B5EF4-FFF2-40B4-BE49-F238E27FC236}">
              <a16:creationId xmlns:a16="http://schemas.microsoft.com/office/drawing/2014/main" id="{00000000-0008-0000-0300-0000F1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6" name="Picture 25">
          <a:extLst>
            <a:ext uri="{FF2B5EF4-FFF2-40B4-BE49-F238E27FC236}">
              <a16:creationId xmlns:a16="http://schemas.microsoft.com/office/drawing/2014/main" id="{00000000-0008-0000-0300-0000F2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7" name="Picture 26">
          <a:extLst>
            <a:ext uri="{FF2B5EF4-FFF2-40B4-BE49-F238E27FC236}">
              <a16:creationId xmlns:a16="http://schemas.microsoft.com/office/drawing/2014/main" id="{00000000-0008-0000-0300-0000F3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8" name="Picture 4">
          <a:extLst>
            <a:ext uri="{FF2B5EF4-FFF2-40B4-BE49-F238E27FC236}">
              <a16:creationId xmlns:a16="http://schemas.microsoft.com/office/drawing/2014/main" id="{00000000-0008-0000-0300-0000F4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89" name="Picture 5">
          <a:extLst>
            <a:ext uri="{FF2B5EF4-FFF2-40B4-BE49-F238E27FC236}">
              <a16:creationId xmlns:a16="http://schemas.microsoft.com/office/drawing/2014/main" id="{00000000-0008-0000-0300-0000F5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0" name="Picture 25">
          <a:extLst>
            <a:ext uri="{FF2B5EF4-FFF2-40B4-BE49-F238E27FC236}">
              <a16:creationId xmlns:a16="http://schemas.microsoft.com/office/drawing/2014/main" id="{00000000-0008-0000-0300-0000F6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1" name="Picture 26">
          <a:extLst>
            <a:ext uri="{FF2B5EF4-FFF2-40B4-BE49-F238E27FC236}">
              <a16:creationId xmlns:a16="http://schemas.microsoft.com/office/drawing/2014/main" id="{00000000-0008-0000-0300-0000F7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2" name="Picture 4">
          <a:extLst>
            <a:ext uri="{FF2B5EF4-FFF2-40B4-BE49-F238E27FC236}">
              <a16:creationId xmlns:a16="http://schemas.microsoft.com/office/drawing/2014/main" id="{00000000-0008-0000-0300-0000F8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3" name="Picture 5">
          <a:extLst>
            <a:ext uri="{FF2B5EF4-FFF2-40B4-BE49-F238E27FC236}">
              <a16:creationId xmlns:a16="http://schemas.microsoft.com/office/drawing/2014/main" id="{00000000-0008-0000-0300-0000F9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4" name="Picture 25">
          <a:extLst>
            <a:ext uri="{FF2B5EF4-FFF2-40B4-BE49-F238E27FC236}">
              <a16:creationId xmlns:a16="http://schemas.microsoft.com/office/drawing/2014/main" id="{00000000-0008-0000-0300-0000FA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5" name="Picture 26">
          <a:extLst>
            <a:ext uri="{FF2B5EF4-FFF2-40B4-BE49-F238E27FC236}">
              <a16:creationId xmlns:a16="http://schemas.microsoft.com/office/drawing/2014/main" id="{00000000-0008-0000-0300-0000FB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6" name="Picture 4">
          <a:extLst>
            <a:ext uri="{FF2B5EF4-FFF2-40B4-BE49-F238E27FC236}">
              <a16:creationId xmlns:a16="http://schemas.microsoft.com/office/drawing/2014/main" id="{00000000-0008-0000-0300-0000FC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7" name="Picture 5">
          <a:extLst>
            <a:ext uri="{FF2B5EF4-FFF2-40B4-BE49-F238E27FC236}">
              <a16:creationId xmlns:a16="http://schemas.microsoft.com/office/drawing/2014/main" id="{00000000-0008-0000-0300-0000FD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8" name="Picture 25">
          <a:extLst>
            <a:ext uri="{FF2B5EF4-FFF2-40B4-BE49-F238E27FC236}">
              <a16:creationId xmlns:a16="http://schemas.microsoft.com/office/drawing/2014/main" id="{00000000-0008-0000-0300-0000FE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1999" name="Picture 26">
          <a:extLst>
            <a:ext uri="{FF2B5EF4-FFF2-40B4-BE49-F238E27FC236}">
              <a16:creationId xmlns:a16="http://schemas.microsoft.com/office/drawing/2014/main" id="{00000000-0008-0000-0300-0000FF40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574040</xdr:colOff>
      <xdr:row>5</xdr:row>
      <xdr:rowOff>192405</xdr:rowOff>
    </xdr:to>
    <xdr:sp macro="[0]!_xlnm.ww2" textlink="">
      <xdr:nvSpPr>
        <xdr:cNvPr id="2" name="矩形 4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561320" y="1298575"/>
          <a:ext cx="1945640" cy="430530"/>
        </a:xfrm>
        <a:prstGeom prst="rect">
          <a:avLst/>
        </a:prstGeom>
        <a:ln w="28575">
          <a:prstDash val="solid"/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/>
            <a:t>导入电子收费单</a:t>
          </a:r>
          <a:r>
            <a:rPr lang="en-US" altLang="zh-CN" sz="1800" b="1"/>
            <a:t>2</a:t>
          </a:r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01" name="Picture 15">
          <a:extLst>
            <a:ext uri="{FF2B5EF4-FFF2-40B4-BE49-F238E27FC236}">
              <a16:creationId xmlns:a16="http://schemas.microsoft.com/office/drawing/2014/main" id="{00000000-0008-0000-0300-000001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02" name="Picture 16">
          <a:extLst>
            <a:ext uri="{FF2B5EF4-FFF2-40B4-BE49-F238E27FC236}">
              <a16:creationId xmlns:a16="http://schemas.microsoft.com/office/drawing/2014/main" id="{00000000-0008-0000-0300-000002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03" name="Picture 36">
          <a:extLst>
            <a:ext uri="{FF2B5EF4-FFF2-40B4-BE49-F238E27FC236}">
              <a16:creationId xmlns:a16="http://schemas.microsoft.com/office/drawing/2014/main" id="{00000000-0008-0000-0300-000003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04" name="Picture 37">
          <a:extLst>
            <a:ext uri="{FF2B5EF4-FFF2-40B4-BE49-F238E27FC236}">
              <a16:creationId xmlns:a16="http://schemas.microsoft.com/office/drawing/2014/main" id="{00000000-0008-0000-0300-000004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05" name="Picture 4">
          <a:extLst>
            <a:ext uri="{FF2B5EF4-FFF2-40B4-BE49-F238E27FC236}">
              <a16:creationId xmlns:a16="http://schemas.microsoft.com/office/drawing/2014/main" id="{00000000-0008-0000-0300-000005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06" name="Picture 5">
          <a:extLst>
            <a:ext uri="{FF2B5EF4-FFF2-40B4-BE49-F238E27FC236}">
              <a16:creationId xmlns:a16="http://schemas.microsoft.com/office/drawing/2014/main" id="{00000000-0008-0000-0300-000006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07" name="Picture 25">
          <a:extLst>
            <a:ext uri="{FF2B5EF4-FFF2-40B4-BE49-F238E27FC236}">
              <a16:creationId xmlns:a16="http://schemas.microsoft.com/office/drawing/2014/main" id="{00000000-0008-0000-0300-000007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08" name="Picture 26">
          <a:extLst>
            <a:ext uri="{FF2B5EF4-FFF2-40B4-BE49-F238E27FC236}">
              <a16:creationId xmlns:a16="http://schemas.microsoft.com/office/drawing/2014/main" id="{00000000-0008-0000-0300-000008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09" name="Picture 4">
          <a:extLst>
            <a:ext uri="{FF2B5EF4-FFF2-40B4-BE49-F238E27FC236}">
              <a16:creationId xmlns:a16="http://schemas.microsoft.com/office/drawing/2014/main" id="{00000000-0008-0000-0300-000009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0" name="Picture 5">
          <a:extLst>
            <a:ext uri="{FF2B5EF4-FFF2-40B4-BE49-F238E27FC236}">
              <a16:creationId xmlns:a16="http://schemas.microsoft.com/office/drawing/2014/main" id="{00000000-0008-0000-0300-00000A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1" name="Picture 25">
          <a:extLst>
            <a:ext uri="{FF2B5EF4-FFF2-40B4-BE49-F238E27FC236}">
              <a16:creationId xmlns:a16="http://schemas.microsoft.com/office/drawing/2014/main" id="{00000000-0008-0000-0300-00000B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2" name="Picture 26">
          <a:extLst>
            <a:ext uri="{FF2B5EF4-FFF2-40B4-BE49-F238E27FC236}">
              <a16:creationId xmlns:a16="http://schemas.microsoft.com/office/drawing/2014/main" id="{00000000-0008-0000-0300-00000C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3" name="Picture 4">
          <a:extLst>
            <a:ext uri="{FF2B5EF4-FFF2-40B4-BE49-F238E27FC236}">
              <a16:creationId xmlns:a16="http://schemas.microsoft.com/office/drawing/2014/main" id="{00000000-0008-0000-0300-00000D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4" name="Picture 5">
          <a:extLst>
            <a:ext uri="{FF2B5EF4-FFF2-40B4-BE49-F238E27FC236}">
              <a16:creationId xmlns:a16="http://schemas.microsoft.com/office/drawing/2014/main" id="{00000000-0008-0000-0300-00000E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5" name="Picture 25">
          <a:extLst>
            <a:ext uri="{FF2B5EF4-FFF2-40B4-BE49-F238E27FC236}">
              <a16:creationId xmlns:a16="http://schemas.microsoft.com/office/drawing/2014/main" id="{00000000-0008-0000-0300-00000F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6" name="Picture 26">
          <a:extLst>
            <a:ext uri="{FF2B5EF4-FFF2-40B4-BE49-F238E27FC236}">
              <a16:creationId xmlns:a16="http://schemas.microsoft.com/office/drawing/2014/main" id="{00000000-0008-0000-0300-000010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7" name="Picture 4">
          <a:extLst>
            <a:ext uri="{FF2B5EF4-FFF2-40B4-BE49-F238E27FC236}">
              <a16:creationId xmlns:a16="http://schemas.microsoft.com/office/drawing/2014/main" id="{00000000-0008-0000-0300-000011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8" name="Picture 5">
          <a:extLst>
            <a:ext uri="{FF2B5EF4-FFF2-40B4-BE49-F238E27FC236}">
              <a16:creationId xmlns:a16="http://schemas.microsoft.com/office/drawing/2014/main" id="{00000000-0008-0000-0300-000012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19" name="Picture 25">
          <a:extLst>
            <a:ext uri="{FF2B5EF4-FFF2-40B4-BE49-F238E27FC236}">
              <a16:creationId xmlns:a16="http://schemas.microsoft.com/office/drawing/2014/main" id="{00000000-0008-0000-0300-000013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0" name="Picture 26">
          <a:extLst>
            <a:ext uri="{FF2B5EF4-FFF2-40B4-BE49-F238E27FC236}">
              <a16:creationId xmlns:a16="http://schemas.microsoft.com/office/drawing/2014/main" id="{00000000-0008-0000-0300-000014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1" name="Picture 4">
          <a:extLst>
            <a:ext uri="{FF2B5EF4-FFF2-40B4-BE49-F238E27FC236}">
              <a16:creationId xmlns:a16="http://schemas.microsoft.com/office/drawing/2014/main" id="{00000000-0008-0000-0300-000015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2" name="Picture 5">
          <a:extLst>
            <a:ext uri="{FF2B5EF4-FFF2-40B4-BE49-F238E27FC236}">
              <a16:creationId xmlns:a16="http://schemas.microsoft.com/office/drawing/2014/main" id="{00000000-0008-0000-0300-000016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3" name="Picture 25">
          <a:extLst>
            <a:ext uri="{FF2B5EF4-FFF2-40B4-BE49-F238E27FC236}">
              <a16:creationId xmlns:a16="http://schemas.microsoft.com/office/drawing/2014/main" id="{00000000-0008-0000-0300-000017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4" name="Picture 26">
          <a:extLst>
            <a:ext uri="{FF2B5EF4-FFF2-40B4-BE49-F238E27FC236}">
              <a16:creationId xmlns:a16="http://schemas.microsoft.com/office/drawing/2014/main" id="{00000000-0008-0000-0300-000018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5" name="Picture 4">
          <a:extLst>
            <a:ext uri="{FF2B5EF4-FFF2-40B4-BE49-F238E27FC236}">
              <a16:creationId xmlns:a16="http://schemas.microsoft.com/office/drawing/2014/main" id="{00000000-0008-0000-0300-000019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6" name="Picture 5">
          <a:extLst>
            <a:ext uri="{FF2B5EF4-FFF2-40B4-BE49-F238E27FC236}">
              <a16:creationId xmlns:a16="http://schemas.microsoft.com/office/drawing/2014/main" id="{00000000-0008-0000-0300-00001A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7" name="Picture 25">
          <a:extLst>
            <a:ext uri="{FF2B5EF4-FFF2-40B4-BE49-F238E27FC236}">
              <a16:creationId xmlns:a16="http://schemas.microsoft.com/office/drawing/2014/main" id="{00000000-0008-0000-0300-00001B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8" name="Picture 26">
          <a:extLst>
            <a:ext uri="{FF2B5EF4-FFF2-40B4-BE49-F238E27FC236}">
              <a16:creationId xmlns:a16="http://schemas.microsoft.com/office/drawing/2014/main" id="{00000000-0008-0000-0300-00001C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29" name="Picture 4">
          <a:extLst>
            <a:ext uri="{FF2B5EF4-FFF2-40B4-BE49-F238E27FC236}">
              <a16:creationId xmlns:a16="http://schemas.microsoft.com/office/drawing/2014/main" id="{00000000-0008-0000-0300-00001D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0" name="Picture 5">
          <a:extLst>
            <a:ext uri="{FF2B5EF4-FFF2-40B4-BE49-F238E27FC236}">
              <a16:creationId xmlns:a16="http://schemas.microsoft.com/office/drawing/2014/main" id="{00000000-0008-0000-0300-00001E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1" name="Picture 25">
          <a:extLst>
            <a:ext uri="{FF2B5EF4-FFF2-40B4-BE49-F238E27FC236}">
              <a16:creationId xmlns:a16="http://schemas.microsoft.com/office/drawing/2014/main" id="{00000000-0008-0000-0300-00001F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2" name="Picture 26">
          <a:extLst>
            <a:ext uri="{FF2B5EF4-FFF2-40B4-BE49-F238E27FC236}">
              <a16:creationId xmlns:a16="http://schemas.microsoft.com/office/drawing/2014/main" id="{00000000-0008-0000-0300-000020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3" name="Picture 4">
          <a:extLst>
            <a:ext uri="{FF2B5EF4-FFF2-40B4-BE49-F238E27FC236}">
              <a16:creationId xmlns:a16="http://schemas.microsoft.com/office/drawing/2014/main" id="{00000000-0008-0000-0300-000021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4" name="Picture 5">
          <a:extLst>
            <a:ext uri="{FF2B5EF4-FFF2-40B4-BE49-F238E27FC236}">
              <a16:creationId xmlns:a16="http://schemas.microsoft.com/office/drawing/2014/main" id="{00000000-0008-0000-0300-000022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5" name="Picture 25">
          <a:extLst>
            <a:ext uri="{FF2B5EF4-FFF2-40B4-BE49-F238E27FC236}">
              <a16:creationId xmlns:a16="http://schemas.microsoft.com/office/drawing/2014/main" id="{00000000-0008-0000-0300-000023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6" name="Picture 26">
          <a:extLst>
            <a:ext uri="{FF2B5EF4-FFF2-40B4-BE49-F238E27FC236}">
              <a16:creationId xmlns:a16="http://schemas.microsoft.com/office/drawing/2014/main" id="{00000000-0008-0000-0300-000024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7" name="Picture 4">
          <a:extLst>
            <a:ext uri="{FF2B5EF4-FFF2-40B4-BE49-F238E27FC236}">
              <a16:creationId xmlns:a16="http://schemas.microsoft.com/office/drawing/2014/main" id="{00000000-0008-0000-0300-000025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8" name="Picture 5">
          <a:extLst>
            <a:ext uri="{FF2B5EF4-FFF2-40B4-BE49-F238E27FC236}">
              <a16:creationId xmlns:a16="http://schemas.microsoft.com/office/drawing/2014/main" id="{00000000-0008-0000-0300-000026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39" name="Picture 25">
          <a:extLst>
            <a:ext uri="{FF2B5EF4-FFF2-40B4-BE49-F238E27FC236}">
              <a16:creationId xmlns:a16="http://schemas.microsoft.com/office/drawing/2014/main" id="{00000000-0008-0000-0300-000027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40" name="Picture 26">
          <a:extLst>
            <a:ext uri="{FF2B5EF4-FFF2-40B4-BE49-F238E27FC236}">
              <a16:creationId xmlns:a16="http://schemas.microsoft.com/office/drawing/2014/main" id="{00000000-0008-0000-0300-000028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41" name="Picture 4">
          <a:extLst>
            <a:ext uri="{FF2B5EF4-FFF2-40B4-BE49-F238E27FC236}">
              <a16:creationId xmlns:a16="http://schemas.microsoft.com/office/drawing/2014/main" id="{00000000-0008-0000-0300-000029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42" name="Picture 5">
          <a:extLst>
            <a:ext uri="{FF2B5EF4-FFF2-40B4-BE49-F238E27FC236}">
              <a16:creationId xmlns:a16="http://schemas.microsoft.com/office/drawing/2014/main" id="{00000000-0008-0000-0300-00002A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43" name="Picture 25">
          <a:extLst>
            <a:ext uri="{FF2B5EF4-FFF2-40B4-BE49-F238E27FC236}">
              <a16:creationId xmlns:a16="http://schemas.microsoft.com/office/drawing/2014/main" id="{00000000-0008-0000-0300-00002B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44" name="Picture 26">
          <a:extLst>
            <a:ext uri="{FF2B5EF4-FFF2-40B4-BE49-F238E27FC236}">
              <a16:creationId xmlns:a16="http://schemas.microsoft.com/office/drawing/2014/main" id="{00000000-0008-0000-0300-00002C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45" name="Picture 15">
          <a:extLst>
            <a:ext uri="{FF2B5EF4-FFF2-40B4-BE49-F238E27FC236}">
              <a16:creationId xmlns:a16="http://schemas.microsoft.com/office/drawing/2014/main" id="{00000000-0008-0000-0300-00002D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46" name="Picture 16">
          <a:extLst>
            <a:ext uri="{FF2B5EF4-FFF2-40B4-BE49-F238E27FC236}">
              <a16:creationId xmlns:a16="http://schemas.microsoft.com/office/drawing/2014/main" id="{00000000-0008-0000-0300-00002E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47" name="Picture 36">
          <a:extLst>
            <a:ext uri="{FF2B5EF4-FFF2-40B4-BE49-F238E27FC236}">
              <a16:creationId xmlns:a16="http://schemas.microsoft.com/office/drawing/2014/main" id="{00000000-0008-0000-0300-00002F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048" name="Picture 37">
          <a:extLst>
            <a:ext uri="{FF2B5EF4-FFF2-40B4-BE49-F238E27FC236}">
              <a16:creationId xmlns:a16="http://schemas.microsoft.com/office/drawing/2014/main" id="{00000000-0008-0000-0300-000030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49" name="Picture 4">
          <a:extLst>
            <a:ext uri="{FF2B5EF4-FFF2-40B4-BE49-F238E27FC236}">
              <a16:creationId xmlns:a16="http://schemas.microsoft.com/office/drawing/2014/main" id="{00000000-0008-0000-0300-000031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0" name="Picture 5">
          <a:extLst>
            <a:ext uri="{FF2B5EF4-FFF2-40B4-BE49-F238E27FC236}">
              <a16:creationId xmlns:a16="http://schemas.microsoft.com/office/drawing/2014/main" id="{00000000-0008-0000-0300-000032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1" name="Picture 25">
          <a:extLst>
            <a:ext uri="{FF2B5EF4-FFF2-40B4-BE49-F238E27FC236}">
              <a16:creationId xmlns:a16="http://schemas.microsoft.com/office/drawing/2014/main" id="{00000000-0008-0000-0300-000033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2" name="Picture 26">
          <a:extLst>
            <a:ext uri="{FF2B5EF4-FFF2-40B4-BE49-F238E27FC236}">
              <a16:creationId xmlns:a16="http://schemas.microsoft.com/office/drawing/2014/main" id="{00000000-0008-0000-0300-000034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3" name="Picture 4">
          <a:extLst>
            <a:ext uri="{FF2B5EF4-FFF2-40B4-BE49-F238E27FC236}">
              <a16:creationId xmlns:a16="http://schemas.microsoft.com/office/drawing/2014/main" id="{00000000-0008-0000-0300-000035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4" name="Picture 5">
          <a:extLst>
            <a:ext uri="{FF2B5EF4-FFF2-40B4-BE49-F238E27FC236}">
              <a16:creationId xmlns:a16="http://schemas.microsoft.com/office/drawing/2014/main" id="{00000000-0008-0000-0300-000036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5" name="Picture 25">
          <a:extLst>
            <a:ext uri="{FF2B5EF4-FFF2-40B4-BE49-F238E27FC236}">
              <a16:creationId xmlns:a16="http://schemas.microsoft.com/office/drawing/2014/main" id="{00000000-0008-0000-0300-000037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6" name="Picture 26">
          <a:extLst>
            <a:ext uri="{FF2B5EF4-FFF2-40B4-BE49-F238E27FC236}">
              <a16:creationId xmlns:a16="http://schemas.microsoft.com/office/drawing/2014/main" id="{00000000-0008-0000-0300-000038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7" name="Picture 4">
          <a:extLst>
            <a:ext uri="{FF2B5EF4-FFF2-40B4-BE49-F238E27FC236}">
              <a16:creationId xmlns:a16="http://schemas.microsoft.com/office/drawing/2014/main" id="{00000000-0008-0000-0300-000039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8" name="Picture 5">
          <a:extLst>
            <a:ext uri="{FF2B5EF4-FFF2-40B4-BE49-F238E27FC236}">
              <a16:creationId xmlns:a16="http://schemas.microsoft.com/office/drawing/2014/main" id="{00000000-0008-0000-0300-00003A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59" name="Picture 25">
          <a:extLst>
            <a:ext uri="{FF2B5EF4-FFF2-40B4-BE49-F238E27FC236}">
              <a16:creationId xmlns:a16="http://schemas.microsoft.com/office/drawing/2014/main" id="{00000000-0008-0000-0300-00003B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0" name="Picture 26">
          <a:extLst>
            <a:ext uri="{FF2B5EF4-FFF2-40B4-BE49-F238E27FC236}">
              <a16:creationId xmlns:a16="http://schemas.microsoft.com/office/drawing/2014/main" id="{00000000-0008-0000-0300-00003C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1" name="Picture 4">
          <a:extLst>
            <a:ext uri="{FF2B5EF4-FFF2-40B4-BE49-F238E27FC236}">
              <a16:creationId xmlns:a16="http://schemas.microsoft.com/office/drawing/2014/main" id="{00000000-0008-0000-0300-00003D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2" name="Picture 5">
          <a:extLst>
            <a:ext uri="{FF2B5EF4-FFF2-40B4-BE49-F238E27FC236}">
              <a16:creationId xmlns:a16="http://schemas.microsoft.com/office/drawing/2014/main" id="{00000000-0008-0000-0300-00003E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3" name="Picture 25">
          <a:extLst>
            <a:ext uri="{FF2B5EF4-FFF2-40B4-BE49-F238E27FC236}">
              <a16:creationId xmlns:a16="http://schemas.microsoft.com/office/drawing/2014/main" id="{00000000-0008-0000-0300-00003F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4" name="Picture 26">
          <a:extLst>
            <a:ext uri="{FF2B5EF4-FFF2-40B4-BE49-F238E27FC236}">
              <a16:creationId xmlns:a16="http://schemas.microsoft.com/office/drawing/2014/main" id="{00000000-0008-0000-0300-000040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5" name="Picture 4">
          <a:extLst>
            <a:ext uri="{FF2B5EF4-FFF2-40B4-BE49-F238E27FC236}">
              <a16:creationId xmlns:a16="http://schemas.microsoft.com/office/drawing/2014/main" id="{00000000-0008-0000-0300-000041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6" name="Picture 5">
          <a:extLst>
            <a:ext uri="{FF2B5EF4-FFF2-40B4-BE49-F238E27FC236}">
              <a16:creationId xmlns:a16="http://schemas.microsoft.com/office/drawing/2014/main" id="{00000000-0008-0000-0300-000042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7" name="Picture 25">
          <a:extLst>
            <a:ext uri="{FF2B5EF4-FFF2-40B4-BE49-F238E27FC236}">
              <a16:creationId xmlns:a16="http://schemas.microsoft.com/office/drawing/2014/main" id="{00000000-0008-0000-0300-000043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8" name="Picture 26">
          <a:extLst>
            <a:ext uri="{FF2B5EF4-FFF2-40B4-BE49-F238E27FC236}">
              <a16:creationId xmlns:a16="http://schemas.microsoft.com/office/drawing/2014/main" id="{00000000-0008-0000-0300-000044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69" name="Picture 4">
          <a:extLst>
            <a:ext uri="{FF2B5EF4-FFF2-40B4-BE49-F238E27FC236}">
              <a16:creationId xmlns:a16="http://schemas.microsoft.com/office/drawing/2014/main" id="{00000000-0008-0000-0300-000045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0" name="Picture 5">
          <a:extLst>
            <a:ext uri="{FF2B5EF4-FFF2-40B4-BE49-F238E27FC236}">
              <a16:creationId xmlns:a16="http://schemas.microsoft.com/office/drawing/2014/main" id="{00000000-0008-0000-0300-000046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1" name="Picture 25">
          <a:extLst>
            <a:ext uri="{FF2B5EF4-FFF2-40B4-BE49-F238E27FC236}">
              <a16:creationId xmlns:a16="http://schemas.microsoft.com/office/drawing/2014/main" id="{00000000-0008-0000-0300-000047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2" name="Picture 26">
          <a:extLst>
            <a:ext uri="{FF2B5EF4-FFF2-40B4-BE49-F238E27FC236}">
              <a16:creationId xmlns:a16="http://schemas.microsoft.com/office/drawing/2014/main" id="{00000000-0008-0000-0300-000048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3" name="Picture 4">
          <a:extLst>
            <a:ext uri="{FF2B5EF4-FFF2-40B4-BE49-F238E27FC236}">
              <a16:creationId xmlns:a16="http://schemas.microsoft.com/office/drawing/2014/main" id="{00000000-0008-0000-0300-000049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4" name="Picture 5">
          <a:extLst>
            <a:ext uri="{FF2B5EF4-FFF2-40B4-BE49-F238E27FC236}">
              <a16:creationId xmlns:a16="http://schemas.microsoft.com/office/drawing/2014/main" id="{00000000-0008-0000-0300-00004A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5" name="Picture 25">
          <a:extLst>
            <a:ext uri="{FF2B5EF4-FFF2-40B4-BE49-F238E27FC236}">
              <a16:creationId xmlns:a16="http://schemas.microsoft.com/office/drawing/2014/main" id="{00000000-0008-0000-0300-00004B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6" name="Picture 26">
          <a:extLst>
            <a:ext uri="{FF2B5EF4-FFF2-40B4-BE49-F238E27FC236}">
              <a16:creationId xmlns:a16="http://schemas.microsoft.com/office/drawing/2014/main" id="{00000000-0008-0000-0300-00004C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7" name="Picture 4">
          <a:extLst>
            <a:ext uri="{FF2B5EF4-FFF2-40B4-BE49-F238E27FC236}">
              <a16:creationId xmlns:a16="http://schemas.microsoft.com/office/drawing/2014/main" id="{00000000-0008-0000-0300-00004D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8" name="Picture 5">
          <a:extLst>
            <a:ext uri="{FF2B5EF4-FFF2-40B4-BE49-F238E27FC236}">
              <a16:creationId xmlns:a16="http://schemas.microsoft.com/office/drawing/2014/main" id="{00000000-0008-0000-0300-00004E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79" name="Picture 25">
          <a:extLst>
            <a:ext uri="{FF2B5EF4-FFF2-40B4-BE49-F238E27FC236}">
              <a16:creationId xmlns:a16="http://schemas.microsoft.com/office/drawing/2014/main" id="{00000000-0008-0000-0300-00004F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0" name="Picture 26">
          <a:extLst>
            <a:ext uri="{FF2B5EF4-FFF2-40B4-BE49-F238E27FC236}">
              <a16:creationId xmlns:a16="http://schemas.microsoft.com/office/drawing/2014/main" id="{00000000-0008-0000-0300-000050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1" name="Picture 4">
          <a:extLst>
            <a:ext uri="{FF2B5EF4-FFF2-40B4-BE49-F238E27FC236}">
              <a16:creationId xmlns:a16="http://schemas.microsoft.com/office/drawing/2014/main" id="{00000000-0008-0000-0300-000051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2" name="Picture 5">
          <a:extLst>
            <a:ext uri="{FF2B5EF4-FFF2-40B4-BE49-F238E27FC236}">
              <a16:creationId xmlns:a16="http://schemas.microsoft.com/office/drawing/2014/main" id="{00000000-0008-0000-0300-000052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3" name="Picture 25">
          <a:extLst>
            <a:ext uri="{FF2B5EF4-FFF2-40B4-BE49-F238E27FC236}">
              <a16:creationId xmlns:a16="http://schemas.microsoft.com/office/drawing/2014/main" id="{00000000-0008-0000-0300-000053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4" name="Picture 26">
          <a:extLst>
            <a:ext uri="{FF2B5EF4-FFF2-40B4-BE49-F238E27FC236}">
              <a16:creationId xmlns:a16="http://schemas.microsoft.com/office/drawing/2014/main" id="{00000000-0008-0000-0300-000054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5" name="Picture 4">
          <a:extLst>
            <a:ext uri="{FF2B5EF4-FFF2-40B4-BE49-F238E27FC236}">
              <a16:creationId xmlns:a16="http://schemas.microsoft.com/office/drawing/2014/main" id="{00000000-0008-0000-0300-000055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6" name="Picture 5">
          <a:extLst>
            <a:ext uri="{FF2B5EF4-FFF2-40B4-BE49-F238E27FC236}">
              <a16:creationId xmlns:a16="http://schemas.microsoft.com/office/drawing/2014/main" id="{00000000-0008-0000-0300-000056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7" name="Picture 25">
          <a:extLst>
            <a:ext uri="{FF2B5EF4-FFF2-40B4-BE49-F238E27FC236}">
              <a16:creationId xmlns:a16="http://schemas.microsoft.com/office/drawing/2014/main" id="{00000000-0008-0000-0300-000057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088" name="Picture 26">
          <a:extLst>
            <a:ext uri="{FF2B5EF4-FFF2-40B4-BE49-F238E27FC236}">
              <a16:creationId xmlns:a16="http://schemas.microsoft.com/office/drawing/2014/main" id="{00000000-0008-0000-0300-000058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38735</xdr:colOff>
      <xdr:row>0</xdr:row>
      <xdr:rowOff>29210</xdr:rowOff>
    </xdr:from>
    <xdr:to>
      <xdr:col>4</xdr:col>
      <xdr:colOff>565785</xdr:colOff>
      <xdr:row>0</xdr:row>
      <xdr:rowOff>354330</xdr:rowOff>
    </xdr:to>
    <xdr:pic>
      <xdr:nvPicPr>
        <xdr:cNvPr id="672089" name="图片 2" descr="45e5daac9cce0f865117669d52f4173">
          <a:extLst>
            <a:ext uri="{FF2B5EF4-FFF2-40B4-BE49-F238E27FC236}">
              <a16:creationId xmlns:a16="http://schemas.microsoft.com/office/drawing/2014/main" id="{00000000-0008-0000-0300-000059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35" y="2921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38735</xdr:colOff>
      <xdr:row>35</xdr:row>
      <xdr:rowOff>29210</xdr:rowOff>
    </xdr:from>
    <xdr:to>
      <xdr:col>4</xdr:col>
      <xdr:colOff>565785</xdr:colOff>
      <xdr:row>35</xdr:row>
      <xdr:rowOff>354330</xdr:rowOff>
    </xdr:to>
    <xdr:pic>
      <xdr:nvPicPr>
        <xdr:cNvPr id="672090" name="图片 3" descr="45e5daac9cce0f865117669d52f4173">
          <a:extLst>
            <a:ext uri="{FF2B5EF4-FFF2-40B4-BE49-F238E27FC236}">
              <a16:creationId xmlns:a16="http://schemas.microsoft.com/office/drawing/2014/main" id="{00000000-0008-0000-0300-00005A4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35" y="994410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980" name="Picture 15">
          <a:extLst>
            <a:ext uri="{FF2B5EF4-FFF2-40B4-BE49-F238E27FC236}">
              <a16:creationId xmlns:a16="http://schemas.microsoft.com/office/drawing/2014/main" id="{00000000-0008-0000-0400-0000D4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981" name="Picture 16">
          <a:extLst>
            <a:ext uri="{FF2B5EF4-FFF2-40B4-BE49-F238E27FC236}">
              <a16:creationId xmlns:a16="http://schemas.microsoft.com/office/drawing/2014/main" id="{00000000-0008-0000-0400-0000D5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982" name="Picture 36">
          <a:extLst>
            <a:ext uri="{FF2B5EF4-FFF2-40B4-BE49-F238E27FC236}">
              <a16:creationId xmlns:a16="http://schemas.microsoft.com/office/drawing/2014/main" id="{00000000-0008-0000-0400-0000D6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2983" name="Picture 37">
          <a:extLst>
            <a:ext uri="{FF2B5EF4-FFF2-40B4-BE49-F238E27FC236}">
              <a16:creationId xmlns:a16="http://schemas.microsoft.com/office/drawing/2014/main" id="{00000000-0008-0000-0400-0000D7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84" name="Picture 4">
          <a:extLst>
            <a:ext uri="{FF2B5EF4-FFF2-40B4-BE49-F238E27FC236}">
              <a16:creationId xmlns:a16="http://schemas.microsoft.com/office/drawing/2014/main" id="{00000000-0008-0000-0400-0000D8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85" name="Picture 5">
          <a:extLst>
            <a:ext uri="{FF2B5EF4-FFF2-40B4-BE49-F238E27FC236}">
              <a16:creationId xmlns:a16="http://schemas.microsoft.com/office/drawing/2014/main" id="{00000000-0008-0000-0400-0000D9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86" name="Picture 25">
          <a:extLst>
            <a:ext uri="{FF2B5EF4-FFF2-40B4-BE49-F238E27FC236}">
              <a16:creationId xmlns:a16="http://schemas.microsoft.com/office/drawing/2014/main" id="{00000000-0008-0000-0400-0000DA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87" name="Picture 26">
          <a:extLst>
            <a:ext uri="{FF2B5EF4-FFF2-40B4-BE49-F238E27FC236}">
              <a16:creationId xmlns:a16="http://schemas.microsoft.com/office/drawing/2014/main" id="{00000000-0008-0000-0400-0000DB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88" name="Picture 4">
          <a:extLst>
            <a:ext uri="{FF2B5EF4-FFF2-40B4-BE49-F238E27FC236}">
              <a16:creationId xmlns:a16="http://schemas.microsoft.com/office/drawing/2014/main" id="{00000000-0008-0000-0400-0000DC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89" name="Picture 5">
          <a:extLst>
            <a:ext uri="{FF2B5EF4-FFF2-40B4-BE49-F238E27FC236}">
              <a16:creationId xmlns:a16="http://schemas.microsoft.com/office/drawing/2014/main" id="{00000000-0008-0000-0400-0000DD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0" name="Picture 25">
          <a:extLst>
            <a:ext uri="{FF2B5EF4-FFF2-40B4-BE49-F238E27FC236}">
              <a16:creationId xmlns:a16="http://schemas.microsoft.com/office/drawing/2014/main" id="{00000000-0008-0000-0400-0000DE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1" name="Picture 26">
          <a:extLst>
            <a:ext uri="{FF2B5EF4-FFF2-40B4-BE49-F238E27FC236}">
              <a16:creationId xmlns:a16="http://schemas.microsoft.com/office/drawing/2014/main" id="{00000000-0008-0000-0400-0000DF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2" name="Picture 4">
          <a:extLst>
            <a:ext uri="{FF2B5EF4-FFF2-40B4-BE49-F238E27FC236}">
              <a16:creationId xmlns:a16="http://schemas.microsoft.com/office/drawing/2014/main" id="{00000000-0008-0000-0400-0000E0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3" name="Picture 5">
          <a:extLst>
            <a:ext uri="{FF2B5EF4-FFF2-40B4-BE49-F238E27FC236}">
              <a16:creationId xmlns:a16="http://schemas.microsoft.com/office/drawing/2014/main" id="{00000000-0008-0000-0400-0000E1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4" name="Picture 25">
          <a:extLst>
            <a:ext uri="{FF2B5EF4-FFF2-40B4-BE49-F238E27FC236}">
              <a16:creationId xmlns:a16="http://schemas.microsoft.com/office/drawing/2014/main" id="{00000000-0008-0000-0400-0000E2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5" name="Picture 26">
          <a:extLst>
            <a:ext uri="{FF2B5EF4-FFF2-40B4-BE49-F238E27FC236}">
              <a16:creationId xmlns:a16="http://schemas.microsoft.com/office/drawing/2014/main" id="{00000000-0008-0000-0400-0000E3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6" name="Picture 4">
          <a:extLst>
            <a:ext uri="{FF2B5EF4-FFF2-40B4-BE49-F238E27FC236}">
              <a16:creationId xmlns:a16="http://schemas.microsoft.com/office/drawing/2014/main" id="{00000000-0008-0000-0400-0000E4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7" name="Picture 5">
          <a:extLst>
            <a:ext uri="{FF2B5EF4-FFF2-40B4-BE49-F238E27FC236}">
              <a16:creationId xmlns:a16="http://schemas.microsoft.com/office/drawing/2014/main" id="{00000000-0008-0000-0400-0000E5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8" name="Picture 25">
          <a:extLst>
            <a:ext uri="{FF2B5EF4-FFF2-40B4-BE49-F238E27FC236}">
              <a16:creationId xmlns:a16="http://schemas.microsoft.com/office/drawing/2014/main" id="{00000000-0008-0000-0400-0000E6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2999" name="Picture 26">
          <a:extLst>
            <a:ext uri="{FF2B5EF4-FFF2-40B4-BE49-F238E27FC236}">
              <a16:creationId xmlns:a16="http://schemas.microsoft.com/office/drawing/2014/main" id="{00000000-0008-0000-0400-0000E7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0" name="Picture 4">
          <a:extLst>
            <a:ext uri="{FF2B5EF4-FFF2-40B4-BE49-F238E27FC236}">
              <a16:creationId xmlns:a16="http://schemas.microsoft.com/office/drawing/2014/main" id="{00000000-0008-0000-0400-0000E8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1" name="Picture 5">
          <a:extLst>
            <a:ext uri="{FF2B5EF4-FFF2-40B4-BE49-F238E27FC236}">
              <a16:creationId xmlns:a16="http://schemas.microsoft.com/office/drawing/2014/main" id="{00000000-0008-0000-0400-0000E9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2" name="Picture 25">
          <a:extLst>
            <a:ext uri="{FF2B5EF4-FFF2-40B4-BE49-F238E27FC236}">
              <a16:creationId xmlns:a16="http://schemas.microsoft.com/office/drawing/2014/main" id="{00000000-0008-0000-0400-0000EA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3" name="Picture 26">
          <a:extLst>
            <a:ext uri="{FF2B5EF4-FFF2-40B4-BE49-F238E27FC236}">
              <a16:creationId xmlns:a16="http://schemas.microsoft.com/office/drawing/2014/main" id="{00000000-0008-0000-0400-0000EB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4" name="Picture 4">
          <a:extLst>
            <a:ext uri="{FF2B5EF4-FFF2-40B4-BE49-F238E27FC236}">
              <a16:creationId xmlns:a16="http://schemas.microsoft.com/office/drawing/2014/main" id="{00000000-0008-0000-0400-0000EC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5" name="Picture 5">
          <a:extLst>
            <a:ext uri="{FF2B5EF4-FFF2-40B4-BE49-F238E27FC236}">
              <a16:creationId xmlns:a16="http://schemas.microsoft.com/office/drawing/2014/main" id="{00000000-0008-0000-0400-0000ED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6" name="Picture 25">
          <a:extLst>
            <a:ext uri="{FF2B5EF4-FFF2-40B4-BE49-F238E27FC236}">
              <a16:creationId xmlns:a16="http://schemas.microsoft.com/office/drawing/2014/main" id="{00000000-0008-0000-0400-0000EE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7" name="Picture 26">
          <a:extLst>
            <a:ext uri="{FF2B5EF4-FFF2-40B4-BE49-F238E27FC236}">
              <a16:creationId xmlns:a16="http://schemas.microsoft.com/office/drawing/2014/main" id="{00000000-0008-0000-0400-0000EF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8" name="Picture 4">
          <a:extLst>
            <a:ext uri="{FF2B5EF4-FFF2-40B4-BE49-F238E27FC236}">
              <a16:creationId xmlns:a16="http://schemas.microsoft.com/office/drawing/2014/main" id="{00000000-0008-0000-0400-0000F0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09" name="Picture 5">
          <a:extLst>
            <a:ext uri="{FF2B5EF4-FFF2-40B4-BE49-F238E27FC236}">
              <a16:creationId xmlns:a16="http://schemas.microsoft.com/office/drawing/2014/main" id="{00000000-0008-0000-0400-0000F1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0" name="Picture 25">
          <a:extLst>
            <a:ext uri="{FF2B5EF4-FFF2-40B4-BE49-F238E27FC236}">
              <a16:creationId xmlns:a16="http://schemas.microsoft.com/office/drawing/2014/main" id="{00000000-0008-0000-0400-0000F2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1" name="Picture 26">
          <a:extLst>
            <a:ext uri="{FF2B5EF4-FFF2-40B4-BE49-F238E27FC236}">
              <a16:creationId xmlns:a16="http://schemas.microsoft.com/office/drawing/2014/main" id="{00000000-0008-0000-0400-0000F3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2" name="Picture 4">
          <a:extLst>
            <a:ext uri="{FF2B5EF4-FFF2-40B4-BE49-F238E27FC236}">
              <a16:creationId xmlns:a16="http://schemas.microsoft.com/office/drawing/2014/main" id="{00000000-0008-0000-0400-0000F4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3" name="Picture 5">
          <a:extLst>
            <a:ext uri="{FF2B5EF4-FFF2-40B4-BE49-F238E27FC236}">
              <a16:creationId xmlns:a16="http://schemas.microsoft.com/office/drawing/2014/main" id="{00000000-0008-0000-0400-0000F5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4" name="Picture 25">
          <a:extLst>
            <a:ext uri="{FF2B5EF4-FFF2-40B4-BE49-F238E27FC236}">
              <a16:creationId xmlns:a16="http://schemas.microsoft.com/office/drawing/2014/main" id="{00000000-0008-0000-0400-0000F6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5" name="Picture 26">
          <a:extLst>
            <a:ext uri="{FF2B5EF4-FFF2-40B4-BE49-F238E27FC236}">
              <a16:creationId xmlns:a16="http://schemas.microsoft.com/office/drawing/2014/main" id="{00000000-0008-0000-0400-0000F7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6" name="Picture 4">
          <a:extLst>
            <a:ext uri="{FF2B5EF4-FFF2-40B4-BE49-F238E27FC236}">
              <a16:creationId xmlns:a16="http://schemas.microsoft.com/office/drawing/2014/main" id="{00000000-0008-0000-0400-0000F8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7" name="Picture 5">
          <a:extLst>
            <a:ext uri="{FF2B5EF4-FFF2-40B4-BE49-F238E27FC236}">
              <a16:creationId xmlns:a16="http://schemas.microsoft.com/office/drawing/2014/main" id="{00000000-0008-0000-0400-0000F9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8" name="Picture 25">
          <a:extLst>
            <a:ext uri="{FF2B5EF4-FFF2-40B4-BE49-F238E27FC236}">
              <a16:creationId xmlns:a16="http://schemas.microsoft.com/office/drawing/2014/main" id="{00000000-0008-0000-0400-0000FA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19" name="Picture 26">
          <a:extLst>
            <a:ext uri="{FF2B5EF4-FFF2-40B4-BE49-F238E27FC236}">
              <a16:creationId xmlns:a16="http://schemas.microsoft.com/office/drawing/2014/main" id="{00000000-0008-0000-0400-0000FB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20" name="Picture 4">
          <a:extLst>
            <a:ext uri="{FF2B5EF4-FFF2-40B4-BE49-F238E27FC236}">
              <a16:creationId xmlns:a16="http://schemas.microsoft.com/office/drawing/2014/main" id="{00000000-0008-0000-0400-0000FC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21" name="Picture 5">
          <a:extLst>
            <a:ext uri="{FF2B5EF4-FFF2-40B4-BE49-F238E27FC236}">
              <a16:creationId xmlns:a16="http://schemas.microsoft.com/office/drawing/2014/main" id="{00000000-0008-0000-0400-0000FD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22" name="Picture 25">
          <a:extLst>
            <a:ext uri="{FF2B5EF4-FFF2-40B4-BE49-F238E27FC236}">
              <a16:creationId xmlns:a16="http://schemas.microsoft.com/office/drawing/2014/main" id="{00000000-0008-0000-0400-0000FE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23" name="Picture 26">
          <a:extLst>
            <a:ext uri="{FF2B5EF4-FFF2-40B4-BE49-F238E27FC236}">
              <a16:creationId xmlns:a16="http://schemas.microsoft.com/office/drawing/2014/main" id="{00000000-0008-0000-0400-0000FF44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574040</xdr:colOff>
      <xdr:row>5</xdr:row>
      <xdr:rowOff>192405</xdr:rowOff>
    </xdr:to>
    <xdr:sp macro="[0]!_xlnm.ww3" textlink="">
      <xdr:nvSpPr>
        <xdr:cNvPr id="2" name="矩形 4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561320" y="1298575"/>
          <a:ext cx="1945640" cy="430530"/>
        </a:xfrm>
        <a:prstGeom prst="rect">
          <a:avLst/>
        </a:prstGeom>
        <a:ln w="28575">
          <a:prstDash val="solid"/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/>
            <a:t>导入电子收费单</a:t>
          </a:r>
          <a:r>
            <a:rPr lang="en-US" altLang="zh-CN" sz="1800" b="1"/>
            <a:t>3</a:t>
          </a:r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25" name="Picture 15">
          <a:extLst>
            <a:ext uri="{FF2B5EF4-FFF2-40B4-BE49-F238E27FC236}">
              <a16:creationId xmlns:a16="http://schemas.microsoft.com/office/drawing/2014/main" id="{00000000-0008-0000-0400-000001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26" name="Picture 16">
          <a:extLst>
            <a:ext uri="{FF2B5EF4-FFF2-40B4-BE49-F238E27FC236}">
              <a16:creationId xmlns:a16="http://schemas.microsoft.com/office/drawing/2014/main" id="{00000000-0008-0000-0400-000002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27" name="Picture 36">
          <a:extLst>
            <a:ext uri="{FF2B5EF4-FFF2-40B4-BE49-F238E27FC236}">
              <a16:creationId xmlns:a16="http://schemas.microsoft.com/office/drawing/2014/main" id="{00000000-0008-0000-0400-000003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28" name="Picture 37">
          <a:extLst>
            <a:ext uri="{FF2B5EF4-FFF2-40B4-BE49-F238E27FC236}">
              <a16:creationId xmlns:a16="http://schemas.microsoft.com/office/drawing/2014/main" id="{00000000-0008-0000-0400-000004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29" name="Picture 4">
          <a:extLst>
            <a:ext uri="{FF2B5EF4-FFF2-40B4-BE49-F238E27FC236}">
              <a16:creationId xmlns:a16="http://schemas.microsoft.com/office/drawing/2014/main" id="{00000000-0008-0000-0400-000005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0" name="Picture 5">
          <a:extLst>
            <a:ext uri="{FF2B5EF4-FFF2-40B4-BE49-F238E27FC236}">
              <a16:creationId xmlns:a16="http://schemas.microsoft.com/office/drawing/2014/main" id="{00000000-0008-0000-0400-000006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1" name="Picture 25">
          <a:extLst>
            <a:ext uri="{FF2B5EF4-FFF2-40B4-BE49-F238E27FC236}">
              <a16:creationId xmlns:a16="http://schemas.microsoft.com/office/drawing/2014/main" id="{00000000-0008-0000-0400-000007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2" name="Picture 26">
          <a:extLst>
            <a:ext uri="{FF2B5EF4-FFF2-40B4-BE49-F238E27FC236}">
              <a16:creationId xmlns:a16="http://schemas.microsoft.com/office/drawing/2014/main" id="{00000000-0008-0000-0400-000008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3" name="Picture 4">
          <a:extLst>
            <a:ext uri="{FF2B5EF4-FFF2-40B4-BE49-F238E27FC236}">
              <a16:creationId xmlns:a16="http://schemas.microsoft.com/office/drawing/2014/main" id="{00000000-0008-0000-0400-000009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4" name="Picture 5">
          <a:extLst>
            <a:ext uri="{FF2B5EF4-FFF2-40B4-BE49-F238E27FC236}">
              <a16:creationId xmlns:a16="http://schemas.microsoft.com/office/drawing/2014/main" id="{00000000-0008-0000-0400-00000A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5" name="Picture 25">
          <a:extLst>
            <a:ext uri="{FF2B5EF4-FFF2-40B4-BE49-F238E27FC236}">
              <a16:creationId xmlns:a16="http://schemas.microsoft.com/office/drawing/2014/main" id="{00000000-0008-0000-0400-00000B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6" name="Picture 26">
          <a:extLst>
            <a:ext uri="{FF2B5EF4-FFF2-40B4-BE49-F238E27FC236}">
              <a16:creationId xmlns:a16="http://schemas.microsoft.com/office/drawing/2014/main" id="{00000000-0008-0000-0400-00000C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7" name="Picture 4">
          <a:extLst>
            <a:ext uri="{FF2B5EF4-FFF2-40B4-BE49-F238E27FC236}">
              <a16:creationId xmlns:a16="http://schemas.microsoft.com/office/drawing/2014/main" id="{00000000-0008-0000-0400-00000D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8" name="Picture 5">
          <a:extLst>
            <a:ext uri="{FF2B5EF4-FFF2-40B4-BE49-F238E27FC236}">
              <a16:creationId xmlns:a16="http://schemas.microsoft.com/office/drawing/2014/main" id="{00000000-0008-0000-0400-00000E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39" name="Picture 25">
          <a:extLst>
            <a:ext uri="{FF2B5EF4-FFF2-40B4-BE49-F238E27FC236}">
              <a16:creationId xmlns:a16="http://schemas.microsoft.com/office/drawing/2014/main" id="{00000000-0008-0000-0400-00000F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0" name="Picture 26">
          <a:extLst>
            <a:ext uri="{FF2B5EF4-FFF2-40B4-BE49-F238E27FC236}">
              <a16:creationId xmlns:a16="http://schemas.microsoft.com/office/drawing/2014/main" id="{00000000-0008-0000-0400-000010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1" name="Picture 4">
          <a:extLst>
            <a:ext uri="{FF2B5EF4-FFF2-40B4-BE49-F238E27FC236}">
              <a16:creationId xmlns:a16="http://schemas.microsoft.com/office/drawing/2014/main" id="{00000000-0008-0000-0400-000011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2" name="Picture 5">
          <a:extLst>
            <a:ext uri="{FF2B5EF4-FFF2-40B4-BE49-F238E27FC236}">
              <a16:creationId xmlns:a16="http://schemas.microsoft.com/office/drawing/2014/main" id="{00000000-0008-0000-0400-000012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3" name="Picture 25">
          <a:extLst>
            <a:ext uri="{FF2B5EF4-FFF2-40B4-BE49-F238E27FC236}">
              <a16:creationId xmlns:a16="http://schemas.microsoft.com/office/drawing/2014/main" id="{00000000-0008-0000-0400-000013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4" name="Picture 26">
          <a:extLst>
            <a:ext uri="{FF2B5EF4-FFF2-40B4-BE49-F238E27FC236}">
              <a16:creationId xmlns:a16="http://schemas.microsoft.com/office/drawing/2014/main" id="{00000000-0008-0000-0400-000014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5" name="Picture 4">
          <a:extLst>
            <a:ext uri="{FF2B5EF4-FFF2-40B4-BE49-F238E27FC236}">
              <a16:creationId xmlns:a16="http://schemas.microsoft.com/office/drawing/2014/main" id="{00000000-0008-0000-0400-000015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6" name="Picture 5">
          <a:extLst>
            <a:ext uri="{FF2B5EF4-FFF2-40B4-BE49-F238E27FC236}">
              <a16:creationId xmlns:a16="http://schemas.microsoft.com/office/drawing/2014/main" id="{00000000-0008-0000-0400-000016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7" name="Picture 25">
          <a:extLst>
            <a:ext uri="{FF2B5EF4-FFF2-40B4-BE49-F238E27FC236}">
              <a16:creationId xmlns:a16="http://schemas.microsoft.com/office/drawing/2014/main" id="{00000000-0008-0000-0400-000017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8" name="Picture 26">
          <a:extLst>
            <a:ext uri="{FF2B5EF4-FFF2-40B4-BE49-F238E27FC236}">
              <a16:creationId xmlns:a16="http://schemas.microsoft.com/office/drawing/2014/main" id="{00000000-0008-0000-0400-000018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49" name="Picture 4">
          <a:extLst>
            <a:ext uri="{FF2B5EF4-FFF2-40B4-BE49-F238E27FC236}">
              <a16:creationId xmlns:a16="http://schemas.microsoft.com/office/drawing/2014/main" id="{00000000-0008-0000-0400-000019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0" name="Picture 5">
          <a:extLst>
            <a:ext uri="{FF2B5EF4-FFF2-40B4-BE49-F238E27FC236}">
              <a16:creationId xmlns:a16="http://schemas.microsoft.com/office/drawing/2014/main" id="{00000000-0008-0000-0400-00001A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1" name="Picture 25">
          <a:extLst>
            <a:ext uri="{FF2B5EF4-FFF2-40B4-BE49-F238E27FC236}">
              <a16:creationId xmlns:a16="http://schemas.microsoft.com/office/drawing/2014/main" id="{00000000-0008-0000-0400-00001B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2" name="Picture 26">
          <a:extLst>
            <a:ext uri="{FF2B5EF4-FFF2-40B4-BE49-F238E27FC236}">
              <a16:creationId xmlns:a16="http://schemas.microsoft.com/office/drawing/2014/main" id="{00000000-0008-0000-0400-00001C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3" name="Picture 4">
          <a:extLst>
            <a:ext uri="{FF2B5EF4-FFF2-40B4-BE49-F238E27FC236}">
              <a16:creationId xmlns:a16="http://schemas.microsoft.com/office/drawing/2014/main" id="{00000000-0008-0000-0400-00001D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4" name="Picture 5">
          <a:extLst>
            <a:ext uri="{FF2B5EF4-FFF2-40B4-BE49-F238E27FC236}">
              <a16:creationId xmlns:a16="http://schemas.microsoft.com/office/drawing/2014/main" id="{00000000-0008-0000-0400-00001E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5" name="Picture 25">
          <a:extLst>
            <a:ext uri="{FF2B5EF4-FFF2-40B4-BE49-F238E27FC236}">
              <a16:creationId xmlns:a16="http://schemas.microsoft.com/office/drawing/2014/main" id="{00000000-0008-0000-0400-00001F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6" name="Picture 26">
          <a:extLst>
            <a:ext uri="{FF2B5EF4-FFF2-40B4-BE49-F238E27FC236}">
              <a16:creationId xmlns:a16="http://schemas.microsoft.com/office/drawing/2014/main" id="{00000000-0008-0000-0400-000020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7" name="Picture 4">
          <a:extLst>
            <a:ext uri="{FF2B5EF4-FFF2-40B4-BE49-F238E27FC236}">
              <a16:creationId xmlns:a16="http://schemas.microsoft.com/office/drawing/2014/main" id="{00000000-0008-0000-0400-000021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8" name="Picture 5">
          <a:extLst>
            <a:ext uri="{FF2B5EF4-FFF2-40B4-BE49-F238E27FC236}">
              <a16:creationId xmlns:a16="http://schemas.microsoft.com/office/drawing/2014/main" id="{00000000-0008-0000-0400-000022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59" name="Picture 25">
          <a:extLst>
            <a:ext uri="{FF2B5EF4-FFF2-40B4-BE49-F238E27FC236}">
              <a16:creationId xmlns:a16="http://schemas.microsoft.com/office/drawing/2014/main" id="{00000000-0008-0000-0400-000023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0" name="Picture 26">
          <a:extLst>
            <a:ext uri="{FF2B5EF4-FFF2-40B4-BE49-F238E27FC236}">
              <a16:creationId xmlns:a16="http://schemas.microsoft.com/office/drawing/2014/main" id="{00000000-0008-0000-0400-000024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1" name="Picture 4">
          <a:extLst>
            <a:ext uri="{FF2B5EF4-FFF2-40B4-BE49-F238E27FC236}">
              <a16:creationId xmlns:a16="http://schemas.microsoft.com/office/drawing/2014/main" id="{00000000-0008-0000-0400-000025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2" name="Picture 5">
          <a:extLst>
            <a:ext uri="{FF2B5EF4-FFF2-40B4-BE49-F238E27FC236}">
              <a16:creationId xmlns:a16="http://schemas.microsoft.com/office/drawing/2014/main" id="{00000000-0008-0000-0400-000026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3" name="Picture 25">
          <a:extLst>
            <a:ext uri="{FF2B5EF4-FFF2-40B4-BE49-F238E27FC236}">
              <a16:creationId xmlns:a16="http://schemas.microsoft.com/office/drawing/2014/main" id="{00000000-0008-0000-0400-000027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4" name="Picture 26">
          <a:extLst>
            <a:ext uri="{FF2B5EF4-FFF2-40B4-BE49-F238E27FC236}">
              <a16:creationId xmlns:a16="http://schemas.microsoft.com/office/drawing/2014/main" id="{00000000-0008-0000-0400-000028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5" name="Picture 4">
          <a:extLst>
            <a:ext uri="{FF2B5EF4-FFF2-40B4-BE49-F238E27FC236}">
              <a16:creationId xmlns:a16="http://schemas.microsoft.com/office/drawing/2014/main" id="{00000000-0008-0000-0400-000029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6" name="Picture 5">
          <a:extLst>
            <a:ext uri="{FF2B5EF4-FFF2-40B4-BE49-F238E27FC236}">
              <a16:creationId xmlns:a16="http://schemas.microsoft.com/office/drawing/2014/main" id="{00000000-0008-0000-0400-00002A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7" name="Picture 25">
          <a:extLst>
            <a:ext uri="{FF2B5EF4-FFF2-40B4-BE49-F238E27FC236}">
              <a16:creationId xmlns:a16="http://schemas.microsoft.com/office/drawing/2014/main" id="{00000000-0008-0000-0400-00002B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68" name="Picture 26">
          <a:extLst>
            <a:ext uri="{FF2B5EF4-FFF2-40B4-BE49-F238E27FC236}">
              <a16:creationId xmlns:a16="http://schemas.microsoft.com/office/drawing/2014/main" id="{00000000-0008-0000-0400-00002C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69" name="Picture 15">
          <a:extLst>
            <a:ext uri="{FF2B5EF4-FFF2-40B4-BE49-F238E27FC236}">
              <a16:creationId xmlns:a16="http://schemas.microsoft.com/office/drawing/2014/main" id="{00000000-0008-0000-0400-00002D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70" name="Picture 16">
          <a:extLst>
            <a:ext uri="{FF2B5EF4-FFF2-40B4-BE49-F238E27FC236}">
              <a16:creationId xmlns:a16="http://schemas.microsoft.com/office/drawing/2014/main" id="{00000000-0008-0000-0400-00002E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71" name="Picture 36">
          <a:extLst>
            <a:ext uri="{FF2B5EF4-FFF2-40B4-BE49-F238E27FC236}">
              <a16:creationId xmlns:a16="http://schemas.microsoft.com/office/drawing/2014/main" id="{00000000-0008-0000-0400-00002F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73072" name="Picture 37">
          <a:extLst>
            <a:ext uri="{FF2B5EF4-FFF2-40B4-BE49-F238E27FC236}">
              <a16:creationId xmlns:a16="http://schemas.microsoft.com/office/drawing/2014/main" id="{00000000-0008-0000-0400-000030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73" name="Picture 4">
          <a:extLst>
            <a:ext uri="{FF2B5EF4-FFF2-40B4-BE49-F238E27FC236}">
              <a16:creationId xmlns:a16="http://schemas.microsoft.com/office/drawing/2014/main" id="{00000000-0008-0000-0400-000031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74" name="Picture 5">
          <a:extLst>
            <a:ext uri="{FF2B5EF4-FFF2-40B4-BE49-F238E27FC236}">
              <a16:creationId xmlns:a16="http://schemas.microsoft.com/office/drawing/2014/main" id="{00000000-0008-0000-0400-000032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75" name="Picture 25">
          <a:extLst>
            <a:ext uri="{FF2B5EF4-FFF2-40B4-BE49-F238E27FC236}">
              <a16:creationId xmlns:a16="http://schemas.microsoft.com/office/drawing/2014/main" id="{00000000-0008-0000-0400-000033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76" name="Picture 26">
          <a:extLst>
            <a:ext uri="{FF2B5EF4-FFF2-40B4-BE49-F238E27FC236}">
              <a16:creationId xmlns:a16="http://schemas.microsoft.com/office/drawing/2014/main" id="{00000000-0008-0000-0400-000034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77" name="Picture 4">
          <a:extLst>
            <a:ext uri="{FF2B5EF4-FFF2-40B4-BE49-F238E27FC236}">
              <a16:creationId xmlns:a16="http://schemas.microsoft.com/office/drawing/2014/main" id="{00000000-0008-0000-0400-000035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78" name="Picture 5">
          <a:extLst>
            <a:ext uri="{FF2B5EF4-FFF2-40B4-BE49-F238E27FC236}">
              <a16:creationId xmlns:a16="http://schemas.microsoft.com/office/drawing/2014/main" id="{00000000-0008-0000-0400-000036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79" name="Picture 25">
          <a:extLst>
            <a:ext uri="{FF2B5EF4-FFF2-40B4-BE49-F238E27FC236}">
              <a16:creationId xmlns:a16="http://schemas.microsoft.com/office/drawing/2014/main" id="{00000000-0008-0000-0400-000037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0" name="Picture 26">
          <a:extLst>
            <a:ext uri="{FF2B5EF4-FFF2-40B4-BE49-F238E27FC236}">
              <a16:creationId xmlns:a16="http://schemas.microsoft.com/office/drawing/2014/main" id="{00000000-0008-0000-0400-000038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1" name="Picture 4">
          <a:extLst>
            <a:ext uri="{FF2B5EF4-FFF2-40B4-BE49-F238E27FC236}">
              <a16:creationId xmlns:a16="http://schemas.microsoft.com/office/drawing/2014/main" id="{00000000-0008-0000-0400-000039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2" name="Picture 5">
          <a:extLst>
            <a:ext uri="{FF2B5EF4-FFF2-40B4-BE49-F238E27FC236}">
              <a16:creationId xmlns:a16="http://schemas.microsoft.com/office/drawing/2014/main" id="{00000000-0008-0000-0400-00003A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3" name="Picture 25">
          <a:extLst>
            <a:ext uri="{FF2B5EF4-FFF2-40B4-BE49-F238E27FC236}">
              <a16:creationId xmlns:a16="http://schemas.microsoft.com/office/drawing/2014/main" id="{00000000-0008-0000-0400-00003B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4" name="Picture 26">
          <a:extLst>
            <a:ext uri="{FF2B5EF4-FFF2-40B4-BE49-F238E27FC236}">
              <a16:creationId xmlns:a16="http://schemas.microsoft.com/office/drawing/2014/main" id="{00000000-0008-0000-0400-00003C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5" name="Picture 4">
          <a:extLst>
            <a:ext uri="{FF2B5EF4-FFF2-40B4-BE49-F238E27FC236}">
              <a16:creationId xmlns:a16="http://schemas.microsoft.com/office/drawing/2014/main" id="{00000000-0008-0000-0400-00003D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6" name="Picture 5">
          <a:extLst>
            <a:ext uri="{FF2B5EF4-FFF2-40B4-BE49-F238E27FC236}">
              <a16:creationId xmlns:a16="http://schemas.microsoft.com/office/drawing/2014/main" id="{00000000-0008-0000-0400-00003E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7" name="Picture 25">
          <a:extLst>
            <a:ext uri="{FF2B5EF4-FFF2-40B4-BE49-F238E27FC236}">
              <a16:creationId xmlns:a16="http://schemas.microsoft.com/office/drawing/2014/main" id="{00000000-0008-0000-0400-00003F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8" name="Picture 26">
          <a:extLst>
            <a:ext uri="{FF2B5EF4-FFF2-40B4-BE49-F238E27FC236}">
              <a16:creationId xmlns:a16="http://schemas.microsoft.com/office/drawing/2014/main" id="{00000000-0008-0000-0400-000040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89" name="Picture 4">
          <a:extLst>
            <a:ext uri="{FF2B5EF4-FFF2-40B4-BE49-F238E27FC236}">
              <a16:creationId xmlns:a16="http://schemas.microsoft.com/office/drawing/2014/main" id="{00000000-0008-0000-0400-000041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0" name="Picture 5">
          <a:extLst>
            <a:ext uri="{FF2B5EF4-FFF2-40B4-BE49-F238E27FC236}">
              <a16:creationId xmlns:a16="http://schemas.microsoft.com/office/drawing/2014/main" id="{00000000-0008-0000-0400-000042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1" name="Picture 25">
          <a:extLst>
            <a:ext uri="{FF2B5EF4-FFF2-40B4-BE49-F238E27FC236}">
              <a16:creationId xmlns:a16="http://schemas.microsoft.com/office/drawing/2014/main" id="{00000000-0008-0000-0400-000043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2" name="Picture 26">
          <a:extLst>
            <a:ext uri="{FF2B5EF4-FFF2-40B4-BE49-F238E27FC236}">
              <a16:creationId xmlns:a16="http://schemas.microsoft.com/office/drawing/2014/main" id="{00000000-0008-0000-0400-000044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3" name="Picture 4">
          <a:extLst>
            <a:ext uri="{FF2B5EF4-FFF2-40B4-BE49-F238E27FC236}">
              <a16:creationId xmlns:a16="http://schemas.microsoft.com/office/drawing/2014/main" id="{00000000-0008-0000-0400-000045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4" name="Picture 5">
          <a:extLst>
            <a:ext uri="{FF2B5EF4-FFF2-40B4-BE49-F238E27FC236}">
              <a16:creationId xmlns:a16="http://schemas.microsoft.com/office/drawing/2014/main" id="{00000000-0008-0000-0400-000046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5" name="Picture 25">
          <a:extLst>
            <a:ext uri="{FF2B5EF4-FFF2-40B4-BE49-F238E27FC236}">
              <a16:creationId xmlns:a16="http://schemas.microsoft.com/office/drawing/2014/main" id="{00000000-0008-0000-0400-000047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6" name="Picture 26">
          <a:extLst>
            <a:ext uri="{FF2B5EF4-FFF2-40B4-BE49-F238E27FC236}">
              <a16:creationId xmlns:a16="http://schemas.microsoft.com/office/drawing/2014/main" id="{00000000-0008-0000-0400-000048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7" name="Picture 4">
          <a:extLst>
            <a:ext uri="{FF2B5EF4-FFF2-40B4-BE49-F238E27FC236}">
              <a16:creationId xmlns:a16="http://schemas.microsoft.com/office/drawing/2014/main" id="{00000000-0008-0000-0400-000049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8" name="Picture 5">
          <a:extLst>
            <a:ext uri="{FF2B5EF4-FFF2-40B4-BE49-F238E27FC236}">
              <a16:creationId xmlns:a16="http://schemas.microsoft.com/office/drawing/2014/main" id="{00000000-0008-0000-0400-00004A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099" name="Picture 25">
          <a:extLst>
            <a:ext uri="{FF2B5EF4-FFF2-40B4-BE49-F238E27FC236}">
              <a16:creationId xmlns:a16="http://schemas.microsoft.com/office/drawing/2014/main" id="{00000000-0008-0000-0400-00004B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0" name="Picture 26">
          <a:extLst>
            <a:ext uri="{FF2B5EF4-FFF2-40B4-BE49-F238E27FC236}">
              <a16:creationId xmlns:a16="http://schemas.microsoft.com/office/drawing/2014/main" id="{00000000-0008-0000-0400-00004C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1" name="Picture 4">
          <a:extLst>
            <a:ext uri="{FF2B5EF4-FFF2-40B4-BE49-F238E27FC236}">
              <a16:creationId xmlns:a16="http://schemas.microsoft.com/office/drawing/2014/main" id="{00000000-0008-0000-0400-00004D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2" name="Picture 5">
          <a:extLst>
            <a:ext uri="{FF2B5EF4-FFF2-40B4-BE49-F238E27FC236}">
              <a16:creationId xmlns:a16="http://schemas.microsoft.com/office/drawing/2014/main" id="{00000000-0008-0000-0400-00004E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3" name="Picture 25">
          <a:extLst>
            <a:ext uri="{FF2B5EF4-FFF2-40B4-BE49-F238E27FC236}">
              <a16:creationId xmlns:a16="http://schemas.microsoft.com/office/drawing/2014/main" id="{00000000-0008-0000-0400-00004F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4" name="Picture 26">
          <a:extLst>
            <a:ext uri="{FF2B5EF4-FFF2-40B4-BE49-F238E27FC236}">
              <a16:creationId xmlns:a16="http://schemas.microsoft.com/office/drawing/2014/main" id="{00000000-0008-0000-0400-000050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5" name="Picture 4">
          <a:extLst>
            <a:ext uri="{FF2B5EF4-FFF2-40B4-BE49-F238E27FC236}">
              <a16:creationId xmlns:a16="http://schemas.microsoft.com/office/drawing/2014/main" id="{00000000-0008-0000-0400-000051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6" name="Picture 5">
          <a:extLst>
            <a:ext uri="{FF2B5EF4-FFF2-40B4-BE49-F238E27FC236}">
              <a16:creationId xmlns:a16="http://schemas.microsoft.com/office/drawing/2014/main" id="{00000000-0008-0000-0400-000052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7" name="Picture 25">
          <a:extLst>
            <a:ext uri="{FF2B5EF4-FFF2-40B4-BE49-F238E27FC236}">
              <a16:creationId xmlns:a16="http://schemas.microsoft.com/office/drawing/2014/main" id="{00000000-0008-0000-0400-000053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8" name="Picture 26">
          <a:extLst>
            <a:ext uri="{FF2B5EF4-FFF2-40B4-BE49-F238E27FC236}">
              <a16:creationId xmlns:a16="http://schemas.microsoft.com/office/drawing/2014/main" id="{00000000-0008-0000-0400-000054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09" name="Picture 4">
          <a:extLst>
            <a:ext uri="{FF2B5EF4-FFF2-40B4-BE49-F238E27FC236}">
              <a16:creationId xmlns:a16="http://schemas.microsoft.com/office/drawing/2014/main" id="{00000000-0008-0000-0400-000055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10" name="Picture 5">
          <a:extLst>
            <a:ext uri="{FF2B5EF4-FFF2-40B4-BE49-F238E27FC236}">
              <a16:creationId xmlns:a16="http://schemas.microsoft.com/office/drawing/2014/main" id="{00000000-0008-0000-0400-000056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11" name="Picture 25">
          <a:extLst>
            <a:ext uri="{FF2B5EF4-FFF2-40B4-BE49-F238E27FC236}">
              <a16:creationId xmlns:a16="http://schemas.microsoft.com/office/drawing/2014/main" id="{00000000-0008-0000-0400-000057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73112" name="Picture 26">
          <a:extLst>
            <a:ext uri="{FF2B5EF4-FFF2-40B4-BE49-F238E27FC236}">
              <a16:creationId xmlns:a16="http://schemas.microsoft.com/office/drawing/2014/main" id="{00000000-0008-0000-0400-000058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29210</xdr:colOff>
      <xdr:row>0</xdr:row>
      <xdr:rowOff>29210</xdr:rowOff>
    </xdr:from>
    <xdr:to>
      <xdr:col>4</xdr:col>
      <xdr:colOff>556260</xdr:colOff>
      <xdr:row>0</xdr:row>
      <xdr:rowOff>354330</xdr:rowOff>
    </xdr:to>
    <xdr:pic>
      <xdr:nvPicPr>
        <xdr:cNvPr id="673113" name="图片 2" descr="45e5daac9cce0f865117669d52f4173">
          <a:extLst>
            <a:ext uri="{FF2B5EF4-FFF2-40B4-BE49-F238E27FC236}">
              <a16:creationId xmlns:a16="http://schemas.microsoft.com/office/drawing/2014/main" id="{00000000-0008-0000-0400-000059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10" y="2921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29210</xdr:colOff>
      <xdr:row>35</xdr:row>
      <xdr:rowOff>29210</xdr:rowOff>
    </xdr:from>
    <xdr:to>
      <xdr:col>4</xdr:col>
      <xdr:colOff>556260</xdr:colOff>
      <xdr:row>35</xdr:row>
      <xdr:rowOff>354330</xdr:rowOff>
    </xdr:to>
    <xdr:pic>
      <xdr:nvPicPr>
        <xdr:cNvPr id="673114" name="图片 3" descr="45e5daac9cce0f865117669d52f4173">
          <a:extLst>
            <a:ext uri="{FF2B5EF4-FFF2-40B4-BE49-F238E27FC236}">
              <a16:creationId xmlns:a16="http://schemas.microsoft.com/office/drawing/2014/main" id="{00000000-0008-0000-0400-00005A4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10" y="994410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40" name="Picture 15">
          <a:extLst>
            <a:ext uri="{FF2B5EF4-FFF2-40B4-BE49-F238E27FC236}">
              <a16:creationId xmlns:a16="http://schemas.microsoft.com/office/drawing/2014/main" id="{00000000-0008-0000-0500-00008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41" name="Picture 16">
          <a:extLst>
            <a:ext uri="{FF2B5EF4-FFF2-40B4-BE49-F238E27FC236}">
              <a16:creationId xmlns:a16="http://schemas.microsoft.com/office/drawing/2014/main" id="{00000000-0008-0000-0500-00008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42" name="Picture 36">
          <a:extLst>
            <a:ext uri="{FF2B5EF4-FFF2-40B4-BE49-F238E27FC236}">
              <a16:creationId xmlns:a16="http://schemas.microsoft.com/office/drawing/2014/main" id="{00000000-0008-0000-0500-00008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43" name="Picture 37">
          <a:extLst>
            <a:ext uri="{FF2B5EF4-FFF2-40B4-BE49-F238E27FC236}">
              <a16:creationId xmlns:a16="http://schemas.microsoft.com/office/drawing/2014/main" id="{00000000-0008-0000-0500-00008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44" name="Picture 4">
          <a:extLst>
            <a:ext uri="{FF2B5EF4-FFF2-40B4-BE49-F238E27FC236}">
              <a16:creationId xmlns:a16="http://schemas.microsoft.com/office/drawing/2014/main" id="{00000000-0008-0000-0500-00008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45" name="Picture 5">
          <a:extLst>
            <a:ext uri="{FF2B5EF4-FFF2-40B4-BE49-F238E27FC236}">
              <a16:creationId xmlns:a16="http://schemas.microsoft.com/office/drawing/2014/main" id="{00000000-0008-0000-0500-00008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46" name="Picture 25">
          <a:extLst>
            <a:ext uri="{FF2B5EF4-FFF2-40B4-BE49-F238E27FC236}">
              <a16:creationId xmlns:a16="http://schemas.microsoft.com/office/drawing/2014/main" id="{00000000-0008-0000-0500-00008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47" name="Picture 26">
          <a:extLst>
            <a:ext uri="{FF2B5EF4-FFF2-40B4-BE49-F238E27FC236}">
              <a16:creationId xmlns:a16="http://schemas.microsoft.com/office/drawing/2014/main" id="{00000000-0008-0000-0500-00008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48" name="Picture 4">
          <a:extLst>
            <a:ext uri="{FF2B5EF4-FFF2-40B4-BE49-F238E27FC236}">
              <a16:creationId xmlns:a16="http://schemas.microsoft.com/office/drawing/2014/main" id="{00000000-0008-0000-0500-000090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49" name="Picture 5">
          <a:extLst>
            <a:ext uri="{FF2B5EF4-FFF2-40B4-BE49-F238E27FC236}">
              <a16:creationId xmlns:a16="http://schemas.microsoft.com/office/drawing/2014/main" id="{00000000-0008-0000-0500-000091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0" name="Picture 25">
          <a:extLst>
            <a:ext uri="{FF2B5EF4-FFF2-40B4-BE49-F238E27FC236}">
              <a16:creationId xmlns:a16="http://schemas.microsoft.com/office/drawing/2014/main" id="{00000000-0008-0000-0500-000092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1" name="Picture 26">
          <a:extLst>
            <a:ext uri="{FF2B5EF4-FFF2-40B4-BE49-F238E27FC236}">
              <a16:creationId xmlns:a16="http://schemas.microsoft.com/office/drawing/2014/main" id="{00000000-0008-0000-0500-000093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2" name="Picture 4">
          <a:extLst>
            <a:ext uri="{FF2B5EF4-FFF2-40B4-BE49-F238E27FC236}">
              <a16:creationId xmlns:a16="http://schemas.microsoft.com/office/drawing/2014/main" id="{00000000-0008-0000-0500-000094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3" name="Picture 5">
          <a:extLst>
            <a:ext uri="{FF2B5EF4-FFF2-40B4-BE49-F238E27FC236}">
              <a16:creationId xmlns:a16="http://schemas.microsoft.com/office/drawing/2014/main" id="{00000000-0008-0000-0500-000095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4" name="Picture 25">
          <a:extLst>
            <a:ext uri="{FF2B5EF4-FFF2-40B4-BE49-F238E27FC236}">
              <a16:creationId xmlns:a16="http://schemas.microsoft.com/office/drawing/2014/main" id="{00000000-0008-0000-0500-000096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5" name="Picture 26">
          <a:extLst>
            <a:ext uri="{FF2B5EF4-FFF2-40B4-BE49-F238E27FC236}">
              <a16:creationId xmlns:a16="http://schemas.microsoft.com/office/drawing/2014/main" id="{00000000-0008-0000-0500-000097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6" name="Picture 4">
          <a:extLst>
            <a:ext uri="{FF2B5EF4-FFF2-40B4-BE49-F238E27FC236}">
              <a16:creationId xmlns:a16="http://schemas.microsoft.com/office/drawing/2014/main" id="{00000000-0008-0000-0500-00009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7" name="Picture 5">
          <a:extLst>
            <a:ext uri="{FF2B5EF4-FFF2-40B4-BE49-F238E27FC236}">
              <a16:creationId xmlns:a16="http://schemas.microsoft.com/office/drawing/2014/main" id="{00000000-0008-0000-0500-00009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8" name="Picture 25">
          <a:extLst>
            <a:ext uri="{FF2B5EF4-FFF2-40B4-BE49-F238E27FC236}">
              <a16:creationId xmlns:a16="http://schemas.microsoft.com/office/drawing/2014/main" id="{00000000-0008-0000-0500-00009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59" name="Picture 26">
          <a:extLst>
            <a:ext uri="{FF2B5EF4-FFF2-40B4-BE49-F238E27FC236}">
              <a16:creationId xmlns:a16="http://schemas.microsoft.com/office/drawing/2014/main" id="{00000000-0008-0000-0500-00009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0" name="Picture 4">
          <a:extLst>
            <a:ext uri="{FF2B5EF4-FFF2-40B4-BE49-F238E27FC236}">
              <a16:creationId xmlns:a16="http://schemas.microsoft.com/office/drawing/2014/main" id="{00000000-0008-0000-0500-00009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1" name="Picture 5">
          <a:extLst>
            <a:ext uri="{FF2B5EF4-FFF2-40B4-BE49-F238E27FC236}">
              <a16:creationId xmlns:a16="http://schemas.microsoft.com/office/drawing/2014/main" id="{00000000-0008-0000-0500-00009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2" name="Picture 25">
          <a:extLst>
            <a:ext uri="{FF2B5EF4-FFF2-40B4-BE49-F238E27FC236}">
              <a16:creationId xmlns:a16="http://schemas.microsoft.com/office/drawing/2014/main" id="{00000000-0008-0000-0500-00009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3" name="Picture 26">
          <a:extLst>
            <a:ext uri="{FF2B5EF4-FFF2-40B4-BE49-F238E27FC236}">
              <a16:creationId xmlns:a16="http://schemas.microsoft.com/office/drawing/2014/main" id="{00000000-0008-0000-0500-00009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4" name="Picture 4">
          <a:extLst>
            <a:ext uri="{FF2B5EF4-FFF2-40B4-BE49-F238E27FC236}">
              <a16:creationId xmlns:a16="http://schemas.microsoft.com/office/drawing/2014/main" id="{00000000-0008-0000-0500-0000A0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5" name="Picture 5">
          <a:extLst>
            <a:ext uri="{FF2B5EF4-FFF2-40B4-BE49-F238E27FC236}">
              <a16:creationId xmlns:a16="http://schemas.microsoft.com/office/drawing/2014/main" id="{00000000-0008-0000-0500-0000A1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6" name="Picture 25">
          <a:extLst>
            <a:ext uri="{FF2B5EF4-FFF2-40B4-BE49-F238E27FC236}">
              <a16:creationId xmlns:a16="http://schemas.microsoft.com/office/drawing/2014/main" id="{00000000-0008-0000-0500-0000A2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7" name="Picture 26">
          <a:extLst>
            <a:ext uri="{FF2B5EF4-FFF2-40B4-BE49-F238E27FC236}">
              <a16:creationId xmlns:a16="http://schemas.microsoft.com/office/drawing/2014/main" id="{00000000-0008-0000-0500-0000A3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8" name="Picture 4">
          <a:extLst>
            <a:ext uri="{FF2B5EF4-FFF2-40B4-BE49-F238E27FC236}">
              <a16:creationId xmlns:a16="http://schemas.microsoft.com/office/drawing/2014/main" id="{00000000-0008-0000-0500-0000A4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69" name="Picture 5">
          <a:extLst>
            <a:ext uri="{FF2B5EF4-FFF2-40B4-BE49-F238E27FC236}">
              <a16:creationId xmlns:a16="http://schemas.microsoft.com/office/drawing/2014/main" id="{00000000-0008-0000-0500-0000A5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0" name="Picture 25">
          <a:extLst>
            <a:ext uri="{FF2B5EF4-FFF2-40B4-BE49-F238E27FC236}">
              <a16:creationId xmlns:a16="http://schemas.microsoft.com/office/drawing/2014/main" id="{00000000-0008-0000-0500-0000A6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1" name="Picture 26">
          <a:extLst>
            <a:ext uri="{FF2B5EF4-FFF2-40B4-BE49-F238E27FC236}">
              <a16:creationId xmlns:a16="http://schemas.microsoft.com/office/drawing/2014/main" id="{00000000-0008-0000-0500-0000A7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2" name="Picture 4">
          <a:extLst>
            <a:ext uri="{FF2B5EF4-FFF2-40B4-BE49-F238E27FC236}">
              <a16:creationId xmlns:a16="http://schemas.microsoft.com/office/drawing/2014/main" id="{00000000-0008-0000-0500-0000A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3" name="Picture 5">
          <a:extLst>
            <a:ext uri="{FF2B5EF4-FFF2-40B4-BE49-F238E27FC236}">
              <a16:creationId xmlns:a16="http://schemas.microsoft.com/office/drawing/2014/main" id="{00000000-0008-0000-0500-0000A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4" name="Picture 25">
          <a:extLst>
            <a:ext uri="{FF2B5EF4-FFF2-40B4-BE49-F238E27FC236}">
              <a16:creationId xmlns:a16="http://schemas.microsoft.com/office/drawing/2014/main" id="{00000000-0008-0000-0500-0000A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5" name="Picture 26">
          <a:extLst>
            <a:ext uri="{FF2B5EF4-FFF2-40B4-BE49-F238E27FC236}">
              <a16:creationId xmlns:a16="http://schemas.microsoft.com/office/drawing/2014/main" id="{00000000-0008-0000-0500-0000A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6" name="Picture 4">
          <a:extLst>
            <a:ext uri="{FF2B5EF4-FFF2-40B4-BE49-F238E27FC236}">
              <a16:creationId xmlns:a16="http://schemas.microsoft.com/office/drawing/2014/main" id="{00000000-0008-0000-0500-0000A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7" name="Picture 5">
          <a:extLst>
            <a:ext uri="{FF2B5EF4-FFF2-40B4-BE49-F238E27FC236}">
              <a16:creationId xmlns:a16="http://schemas.microsoft.com/office/drawing/2014/main" id="{00000000-0008-0000-0500-0000A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8" name="Picture 25">
          <a:extLst>
            <a:ext uri="{FF2B5EF4-FFF2-40B4-BE49-F238E27FC236}">
              <a16:creationId xmlns:a16="http://schemas.microsoft.com/office/drawing/2014/main" id="{00000000-0008-0000-0500-0000A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79" name="Picture 26">
          <a:extLst>
            <a:ext uri="{FF2B5EF4-FFF2-40B4-BE49-F238E27FC236}">
              <a16:creationId xmlns:a16="http://schemas.microsoft.com/office/drawing/2014/main" id="{00000000-0008-0000-0500-0000A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80" name="Picture 4">
          <a:extLst>
            <a:ext uri="{FF2B5EF4-FFF2-40B4-BE49-F238E27FC236}">
              <a16:creationId xmlns:a16="http://schemas.microsoft.com/office/drawing/2014/main" id="{00000000-0008-0000-0500-0000B0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81" name="Picture 5">
          <a:extLst>
            <a:ext uri="{FF2B5EF4-FFF2-40B4-BE49-F238E27FC236}">
              <a16:creationId xmlns:a16="http://schemas.microsoft.com/office/drawing/2014/main" id="{00000000-0008-0000-0500-0000B1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82" name="Picture 25">
          <a:extLst>
            <a:ext uri="{FF2B5EF4-FFF2-40B4-BE49-F238E27FC236}">
              <a16:creationId xmlns:a16="http://schemas.microsoft.com/office/drawing/2014/main" id="{00000000-0008-0000-0500-0000B2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83" name="Picture 26">
          <a:extLst>
            <a:ext uri="{FF2B5EF4-FFF2-40B4-BE49-F238E27FC236}">
              <a16:creationId xmlns:a16="http://schemas.microsoft.com/office/drawing/2014/main" id="{00000000-0008-0000-0500-0000B3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564515</xdr:colOff>
      <xdr:row>5</xdr:row>
      <xdr:rowOff>192405</xdr:rowOff>
    </xdr:to>
    <xdr:sp macro="[0]!_xlnm.ww4" textlink="">
      <xdr:nvSpPr>
        <xdr:cNvPr id="2" name="矩形 4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561320" y="1298575"/>
          <a:ext cx="1936115" cy="430530"/>
        </a:xfrm>
        <a:prstGeom prst="rect">
          <a:avLst/>
        </a:prstGeom>
        <a:ln w="28575">
          <a:prstDash val="solid"/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/>
            <a:t>导入电子收费单</a:t>
          </a:r>
          <a:r>
            <a:rPr lang="en-US" altLang="zh-CN" sz="1800" b="1"/>
            <a:t>4</a:t>
          </a:r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85" name="Picture 15">
          <a:extLst>
            <a:ext uri="{FF2B5EF4-FFF2-40B4-BE49-F238E27FC236}">
              <a16:creationId xmlns:a16="http://schemas.microsoft.com/office/drawing/2014/main" id="{00000000-0008-0000-0500-0000B5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86" name="Picture 16">
          <a:extLst>
            <a:ext uri="{FF2B5EF4-FFF2-40B4-BE49-F238E27FC236}">
              <a16:creationId xmlns:a16="http://schemas.microsoft.com/office/drawing/2014/main" id="{00000000-0008-0000-0500-0000B6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87" name="Picture 36">
          <a:extLst>
            <a:ext uri="{FF2B5EF4-FFF2-40B4-BE49-F238E27FC236}">
              <a16:creationId xmlns:a16="http://schemas.microsoft.com/office/drawing/2014/main" id="{00000000-0008-0000-0500-0000B7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088" name="Picture 37">
          <a:extLst>
            <a:ext uri="{FF2B5EF4-FFF2-40B4-BE49-F238E27FC236}">
              <a16:creationId xmlns:a16="http://schemas.microsoft.com/office/drawing/2014/main" id="{00000000-0008-0000-0500-0000B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89" name="Picture 4">
          <a:extLst>
            <a:ext uri="{FF2B5EF4-FFF2-40B4-BE49-F238E27FC236}">
              <a16:creationId xmlns:a16="http://schemas.microsoft.com/office/drawing/2014/main" id="{00000000-0008-0000-0500-0000B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0" name="Picture 5">
          <a:extLst>
            <a:ext uri="{FF2B5EF4-FFF2-40B4-BE49-F238E27FC236}">
              <a16:creationId xmlns:a16="http://schemas.microsoft.com/office/drawing/2014/main" id="{00000000-0008-0000-0500-0000B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1" name="Picture 25">
          <a:extLst>
            <a:ext uri="{FF2B5EF4-FFF2-40B4-BE49-F238E27FC236}">
              <a16:creationId xmlns:a16="http://schemas.microsoft.com/office/drawing/2014/main" id="{00000000-0008-0000-0500-0000B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2" name="Picture 26">
          <a:extLst>
            <a:ext uri="{FF2B5EF4-FFF2-40B4-BE49-F238E27FC236}">
              <a16:creationId xmlns:a16="http://schemas.microsoft.com/office/drawing/2014/main" id="{00000000-0008-0000-0500-0000B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3" name="Picture 4">
          <a:extLst>
            <a:ext uri="{FF2B5EF4-FFF2-40B4-BE49-F238E27FC236}">
              <a16:creationId xmlns:a16="http://schemas.microsoft.com/office/drawing/2014/main" id="{00000000-0008-0000-0500-0000B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4" name="Picture 5">
          <a:extLst>
            <a:ext uri="{FF2B5EF4-FFF2-40B4-BE49-F238E27FC236}">
              <a16:creationId xmlns:a16="http://schemas.microsoft.com/office/drawing/2014/main" id="{00000000-0008-0000-0500-0000B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5" name="Picture 25">
          <a:extLst>
            <a:ext uri="{FF2B5EF4-FFF2-40B4-BE49-F238E27FC236}">
              <a16:creationId xmlns:a16="http://schemas.microsoft.com/office/drawing/2014/main" id="{00000000-0008-0000-0500-0000B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6" name="Picture 26">
          <a:extLst>
            <a:ext uri="{FF2B5EF4-FFF2-40B4-BE49-F238E27FC236}">
              <a16:creationId xmlns:a16="http://schemas.microsoft.com/office/drawing/2014/main" id="{00000000-0008-0000-0500-0000C0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7" name="Picture 4">
          <a:extLst>
            <a:ext uri="{FF2B5EF4-FFF2-40B4-BE49-F238E27FC236}">
              <a16:creationId xmlns:a16="http://schemas.microsoft.com/office/drawing/2014/main" id="{00000000-0008-0000-0500-0000C1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8" name="Picture 5">
          <a:extLst>
            <a:ext uri="{FF2B5EF4-FFF2-40B4-BE49-F238E27FC236}">
              <a16:creationId xmlns:a16="http://schemas.microsoft.com/office/drawing/2014/main" id="{00000000-0008-0000-0500-0000C2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099" name="Picture 25">
          <a:extLst>
            <a:ext uri="{FF2B5EF4-FFF2-40B4-BE49-F238E27FC236}">
              <a16:creationId xmlns:a16="http://schemas.microsoft.com/office/drawing/2014/main" id="{00000000-0008-0000-0500-0000C3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0" name="Picture 26">
          <a:extLst>
            <a:ext uri="{FF2B5EF4-FFF2-40B4-BE49-F238E27FC236}">
              <a16:creationId xmlns:a16="http://schemas.microsoft.com/office/drawing/2014/main" id="{00000000-0008-0000-0500-0000C4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1" name="Picture 4">
          <a:extLst>
            <a:ext uri="{FF2B5EF4-FFF2-40B4-BE49-F238E27FC236}">
              <a16:creationId xmlns:a16="http://schemas.microsoft.com/office/drawing/2014/main" id="{00000000-0008-0000-0500-0000C5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2" name="Picture 5">
          <a:extLst>
            <a:ext uri="{FF2B5EF4-FFF2-40B4-BE49-F238E27FC236}">
              <a16:creationId xmlns:a16="http://schemas.microsoft.com/office/drawing/2014/main" id="{00000000-0008-0000-0500-0000C6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3" name="Picture 25">
          <a:extLst>
            <a:ext uri="{FF2B5EF4-FFF2-40B4-BE49-F238E27FC236}">
              <a16:creationId xmlns:a16="http://schemas.microsoft.com/office/drawing/2014/main" id="{00000000-0008-0000-0500-0000C7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4" name="Picture 26">
          <a:extLst>
            <a:ext uri="{FF2B5EF4-FFF2-40B4-BE49-F238E27FC236}">
              <a16:creationId xmlns:a16="http://schemas.microsoft.com/office/drawing/2014/main" id="{00000000-0008-0000-0500-0000C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5" name="Picture 4">
          <a:extLst>
            <a:ext uri="{FF2B5EF4-FFF2-40B4-BE49-F238E27FC236}">
              <a16:creationId xmlns:a16="http://schemas.microsoft.com/office/drawing/2014/main" id="{00000000-0008-0000-0500-0000C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6" name="Picture 5">
          <a:extLst>
            <a:ext uri="{FF2B5EF4-FFF2-40B4-BE49-F238E27FC236}">
              <a16:creationId xmlns:a16="http://schemas.microsoft.com/office/drawing/2014/main" id="{00000000-0008-0000-0500-0000C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7" name="Picture 25">
          <a:extLst>
            <a:ext uri="{FF2B5EF4-FFF2-40B4-BE49-F238E27FC236}">
              <a16:creationId xmlns:a16="http://schemas.microsoft.com/office/drawing/2014/main" id="{00000000-0008-0000-0500-0000C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8" name="Picture 26">
          <a:extLst>
            <a:ext uri="{FF2B5EF4-FFF2-40B4-BE49-F238E27FC236}">
              <a16:creationId xmlns:a16="http://schemas.microsoft.com/office/drawing/2014/main" id="{00000000-0008-0000-0500-0000C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09" name="Picture 4">
          <a:extLst>
            <a:ext uri="{FF2B5EF4-FFF2-40B4-BE49-F238E27FC236}">
              <a16:creationId xmlns:a16="http://schemas.microsoft.com/office/drawing/2014/main" id="{00000000-0008-0000-0500-0000C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0" name="Picture 5">
          <a:extLst>
            <a:ext uri="{FF2B5EF4-FFF2-40B4-BE49-F238E27FC236}">
              <a16:creationId xmlns:a16="http://schemas.microsoft.com/office/drawing/2014/main" id="{00000000-0008-0000-0500-0000C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1" name="Picture 25">
          <a:extLst>
            <a:ext uri="{FF2B5EF4-FFF2-40B4-BE49-F238E27FC236}">
              <a16:creationId xmlns:a16="http://schemas.microsoft.com/office/drawing/2014/main" id="{00000000-0008-0000-0500-0000C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2" name="Picture 26">
          <a:extLst>
            <a:ext uri="{FF2B5EF4-FFF2-40B4-BE49-F238E27FC236}">
              <a16:creationId xmlns:a16="http://schemas.microsoft.com/office/drawing/2014/main" id="{00000000-0008-0000-0500-0000D0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3" name="Picture 4">
          <a:extLst>
            <a:ext uri="{FF2B5EF4-FFF2-40B4-BE49-F238E27FC236}">
              <a16:creationId xmlns:a16="http://schemas.microsoft.com/office/drawing/2014/main" id="{00000000-0008-0000-0500-0000D1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4" name="Picture 5">
          <a:extLst>
            <a:ext uri="{FF2B5EF4-FFF2-40B4-BE49-F238E27FC236}">
              <a16:creationId xmlns:a16="http://schemas.microsoft.com/office/drawing/2014/main" id="{00000000-0008-0000-0500-0000D2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5" name="Picture 25">
          <a:extLst>
            <a:ext uri="{FF2B5EF4-FFF2-40B4-BE49-F238E27FC236}">
              <a16:creationId xmlns:a16="http://schemas.microsoft.com/office/drawing/2014/main" id="{00000000-0008-0000-0500-0000D3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6" name="Picture 26">
          <a:extLst>
            <a:ext uri="{FF2B5EF4-FFF2-40B4-BE49-F238E27FC236}">
              <a16:creationId xmlns:a16="http://schemas.microsoft.com/office/drawing/2014/main" id="{00000000-0008-0000-0500-0000D4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7" name="Picture 4">
          <a:extLst>
            <a:ext uri="{FF2B5EF4-FFF2-40B4-BE49-F238E27FC236}">
              <a16:creationId xmlns:a16="http://schemas.microsoft.com/office/drawing/2014/main" id="{00000000-0008-0000-0500-0000D5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8" name="Picture 5">
          <a:extLst>
            <a:ext uri="{FF2B5EF4-FFF2-40B4-BE49-F238E27FC236}">
              <a16:creationId xmlns:a16="http://schemas.microsoft.com/office/drawing/2014/main" id="{00000000-0008-0000-0500-0000D6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19" name="Picture 25">
          <a:extLst>
            <a:ext uri="{FF2B5EF4-FFF2-40B4-BE49-F238E27FC236}">
              <a16:creationId xmlns:a16="http://schemas.microsoft.com/office/drawing/2014/main" id="{00000000-0008-0000-0500-0000D7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0" name="Picture 26">
          <a:extLst>
            <a:ext uri="{FF2B5EF4-FFF2-40B4-BE49-F238E27FC236}">
              <a16:creationId xmlns:a16="http://schemas.microsoft.com/office/drawing/2014/main" id="{00000000-0008-0000-0500-0000D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1" name="Picture 4">
          <a:extLst>
            <a:ext uri="{FF2B5EF4-FFF2-40B4-BE49-F238E27FC236}">
              <a16:creationId xmlns:a16="http://schemas.microsoft.com/office/drawing/2014/main" id="{00000000-0008-0000-0500-0000D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2" name="Picture 5">
          <a:extLst>
            <a:ext uri="{FF2B5EF4-FFF2-40B4-BE49-F238E27FC236}">
              <a16:creationId xmlns:a16="http://schemas.microsoft.com/office/drawing/2014/main" id="{00000000-0008-0000-0500-0000D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3" name="Picture 25">
          <a:extLst>
            <a:ext uri="{FF2B5EF4-FFF2-40B4-BE49-F238E27FC236}">
              <a16:creationId xmlns:a16="http://schemas.microsoft.com/office/drawing/2014/main" id="{00000000-0008-0000-0500-0000D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4" name="Picture 26">
          <a:extLst>
            <a:ext uri="{FF2B5EF4-FFF2-40B4-BE49-F238E27FC236}">
              <a16:creationId xmlns:a16="http://schemas.microsoft.com/office/drawing/2014/main" id="{00000000-0008-0000-0500-0000D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5" name="Picture 4">
          <a:extLst>
            <a:ext uri="{FF2B5EF4-FFF2-40B4-BE49-F238E27FC236}">
              <a16:creationId xmlns:a16="http://schemas.microsoft.com/office/drawing/2014/main" id="{00000000-0008-0000-0500-0000D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6" name="Picture 5">
          <a:extLst>
            <a:ext uri="{FF2B5EF4-FFF2-40B4-BE49-F238E27FC236}">
              <a16:creationId xmlns:a16="http://schemas.microsoft.com/office/drawing/2014/main" id="{00000000-0008-0000-0500-0000D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7" name="Picture 25">
          <a:extLst>
            <a:ext uri="{FF2B5EF4-FFF2-40B4-BE49-F238E27FC236}">
              <a16:creationId xmlns:a16="http://schemas.microsoft.com/office/drawing/2014/main" id="{00000000-0008-0000-0500-0000D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28" name="Picture 26">
          <a:extLst>
            <a:ext uri="{FF2B5EF4-FFF2-40B4-BE49-F238E27FC236}">
              <a16:creationId xmlns:a16="http://schemas.microsoft.com/office/drawing/2014/main" id="{00000000-0008-0000-0500-0000E0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129" name="Picture 15">
          <a:extLst>
            <a:ext uri="{FF2B5EF4-FFF2-40B4-BE49-F238E27FC236}">
              <a16:creationId xmlns:a16="http://schemas.microsoft.com/office/drawing/2014/main" id="{00000000-0008-0000-0500-0000E1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130" name="Picture 16">
          <a:extLst>
            <a:ext uri="{FF2B5EF4-FFF2-40B4-BE49-F238E27FC236}">
              <a16:creationId xmlns:a16="http://schemas.microsoft.com/office/drawing/2014/main" id="{00000000-0008-0000-0500-0000E2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131" name="Picture 36">
          <a:extLst>
            <a:ext uri="{FF2B5EF4-FFF2-40B4-BE49-F238E27FC236}">
              <a16:creationId xmlns:a16="http://schemas.microsoft.com/office/drawing/2014/main" id="{00000000-0008-0000-0500-0000E3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8132" name="Picture 37">
          <a:extLst>
            <a:ext uri="{FF2B5EF4-FFF2-40B4-BE49-F238E27FC236}">
              <a16:creationId xmlns:a16="http://schemas.microsoft.com/office/drawing/2014/main" id="{00000000-0008-0000-0500-0000E4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33" name="Picture 4">
          <a:extLst>
            <a:ext uri="{FF2B5EF4-FFF2-40B4-BE49-F238E27FC236}">
              <a16:creationId xmlns:a16="http://schemas.microsoft.com/office/drawing/2014/main" id="{00000000-0008-0000-0500-0000E5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34" name="Picture 5">
          <a:extLst>
            <a:ext uri="{FF2B5EF4-FFF2-40B4-BE49-F238E27FC236}">
              <a16:creationId xmlns:a16="http://schemas.microsoft.com/office/drawing/2014/main" id="{00000000-0008-0000-0500-0000E6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35" name="Picture 25">
          <a:extLst>
            <a:ext uri="{FF2B5EF4-FFF2-40B4-BE49-F238E27FC236}">
              <a16:creationId xmlns:a16="http://schemas.microsoft.com/office/drawing/2014/main" id="{00000000-0008-0000-0500-0000E7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36" name="Picture 26">
          <a:extLst>
            <a:ext uri="{FF2B5EF4-FFF2-40B4-BE49-F238E27FC236}">
              <a16:creationId xmlns:a16="http://schemas.microsoft.com/office/drawing/2014/main" id="{00000000-0008-0000-0500-0000E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37" name="Picture 4">
          <a:extLst>
            <a:ext uri="{FF2B5EF4-FFF2-40B4-BE49-F238E27FC236}">
              <a16:creationId xmlns:a16="http://schemas.microsoft.com/office/drawing/2014/main" id="{00000000-0008-0000-0500-0000E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38" name="Picture 5">
          <a:extLst>
            <a:ext uri="{FF2B5EF4-FFF2-40B4-BE49-F238E27FC236}">
              <a16:creationId xmlns:a16="http://schemas.microsoft.com/office/drawing/2014/main" id="{00000000-0008-0000-0500-0000E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39" name="Picture 25">
          <a:extLst>
            <a:ext uri="{FF2B5EF4-FFF2-40B4-BE49-F238E27FC236}">
              <a16:creationId xmlns:a16="http://schemas.microsoft.com/office/drawing/2014/main" id="{00000000-0008-0000-0500-0000E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0" name="Picture 26">
          <a:extLst>
            <a:ext uri="{FF2B5EF4-FFF2-40B4-BE49-F238E27FC236}">
              <a16:creationId xmlns:a16="http://schemas.microsoft.com/office/drawing/2014/main" id="{00000000-0008-0000-0500-0000E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1" name="Picture 4">
          <a:extLst>
            <a:ext uri="{FF2B5EF4-FFF2-40B4-BE49-F238E27FC236}">
              <a16:creationId xmlns:a16="http://schemas.microsoft.com/office/drawing/2014/main" id="{00000000-0008-0000-0500-0000E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2" name="Picture 5">
          <a:extLst>
            <a:ext uri="{FF2B5EF4-FFF2-40B4-BE49-F238E27FC236}">
              <a16:creationId xmlns:a16="http://schemas.microsoft.com/office/drawing/2014/main" id="{00000000-0008-0000-0500-0000E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3" name="Picture 25">
          <a:extLst>
            <a:ext uri="{FF2B5EF4-FFF2-40B4-BE49-F238E27FC236}">
              <a16:creationId xmlns:a16="http://schemas.microsoft.com/office/drawing/2014/main" id="{00000000-0008-0000-0500-0000E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4" name="Picture 26">
          <a:extLst>
            <a:ext uri="{FF2B5EF4-FFF2-40B4-BE49-F238E27FC236}">
              <a16:creationId xmlns:a16="http://schemas.microsoft.com/office/drawing/2014/main" id="{00000000-0008-0000-0500-0000F0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5" name="Picture 4">
          <a:extLst>
            <a:ext uri="{FF2B5EF4-FFF2-40B4-BE49-F238E27FC236}">
              <a16:creationId xmlns:a16="http://schemas.microsoft.com/office/drawing/2014/main" id="{00000000-0008-0000-0500-0000F1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6" name="Picture 5">
          <a:extLst>
            <a:ext uri="{FF2B5EF4-FFF2-40B4-BE49-F238E27FC236}">
              <a16:creationId xmlns:a16="http://schemas.microsoft.com/office/drawing/2014/main" id="{00000000-0008-0000-0500-0000F2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7" name="Picture 25">
          <a:extLst>
            <a:ext uri="{FF2B5EF4-FFF2-40B4-BE49-F238E27FC236}">
              <a16:creationId xmlns:a16="http://schemas.microsoft.com/office/drawing/2014/main" id="{00000000-0008-0000-0500-0000F3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8" name="Picture 26">
          <a:extLst>
            <a:ext uri="{FF2B5EF4-FFF2-40B4-BE49-F238E27FC236}">
              <a16:creationId xmlns:a16="http://schemas.microsoft.com/office/drawing/2014/main" id="{00000000-0008-0000-0500-0000F4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49" name="Picture 4">
          <a:extLst>
            <a:ext uri="{FF2B5EF4-FFF2-40B4-BE49-F238E27FC236}">
              <a16:creationId xmlns:a16="http://schemas.microsoft.com/office/drawing/2014/main" id="{00000000-0008-0000-0500-0000F5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0" name="Picture 5">
          <a:extLst>
            <a:ext uri="{FF2B5EF4-FFF2-40B4-BE49-F238E27FC236}">
              <a16:creationId xmlns:a16="http://schemas.microsoft.com/office/drawing/2014/main" id="{00000000-0008-0000-0500-0000F6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1" name="Picture 25">
          <a:extLst>
            <a:ext uri="{FF2B5EF4-FFF2-40B4-BE49-F238E27FC236}">
              <a16:creationId xmlns:a16="http://schemas.microsoft.com/office/drawing/2014/main" id="{00000000-0008-0000-0500-0000F7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2" name="Picture 26">
          <a:extLst>
            <a:ext uri="{FF2B5EF4-FFF2-40B4-BE49-F238E27FC236}">
              <a16:creationId xmlns:a16="http://schemas.microsoft.com/office/drawing/2014/main" id="{00000000-0008-0000-0500-0000F8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3" name="Picture 4">
          <a:extLst>
            <a:ext uri="{FF2B5EF4-FFF2-40B4-BE49-F238E27FC236}">
              <a16:creationId xmlns:a16="http://schemas.microsoft.com/office/drawing/2014/main" id="{00000000-0008-0000-0500-0000F9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4" name="Picture 5">
          <a:extLst>
            <a:ext uri="{FF2B5EF4-FFF2-40B4-BE49-F238E27FC236}">
              <a16:creationId xmlns:a16="http://schemas.microsoft.com/office/drawing/2014/main" id="{00000000-0008-0000-0500-0000FA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5" name="Picture 25">
          <a:extLst>
            <a:ext uri="{FF2B5EF4-FFF2-40B4-BE49-F238E27FC236}">
              <a16:creationId xmlns:a16="http://schemas.microsoft.com/office/drawing/2014/main" id="{00000000-0008-0000-0500-0000FB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6" name="Picture 26">
          <a:extLst>
            <a:ext uri="{FF2B5EF4-FFF2-40B4-BE49-F238E27FC236}">
              <a16:creationId xmlns:a16="http://schemas.microsoft.com/office/drawing/2014/main" id="{00000000-0008-0000-0500-0000FC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7" name="Picture 4">
          <a:extLst>
            <a:ext uri="{FF2B5EF4-FFF2-40B4-BE49-F238E27FC236}">
              <a16:creationId xmlns:a16="http://schemas.microsoft.com/office/drawing/2014/main" id="{00000000-0008-0000-0500-0000FD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8" name="Picture 5">
          <a:extLst>
            <a:ext uri="{FF2B5EF4-FFF2-40B4-BE49-F238E27FC236}">
              <a16:creationId xmlns:a16="http://schemas.microsoft.com/office/drawing/2014/main" id="{00000000-0008-0000-0500-0000FE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59" name="Picture 25">
          <a:extLst>
            <a:ext uri="{FF2B5EF4-FFF2-40B4-BE49-F238E27FC236}">
              <a16:creationId xmlns:a16="http://schemas.microsoft.com/office/drawing/2014/main" id="{00000000-0008-0000-0500-0000FF31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0" name="Picture 26">
          <a:extLst>
            <a:ext uri="{FF2B5EF4-FFF2-40B4-BE49-F238E27FC236}">
              <a16:creationId xmlns:a16="http://schemas.microsoft.com/office/drawing/2014/main" id="{00000000-0008-0000-0500-000000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1" name="Picture 4">
          <a:extLst>
            <a:ext uri="{FF2B5EF4-FFF2-40B4-BE49-F238E27FC236}">
              <a16:creationId xmlns:a16="http://schemas.microsoft.com/office/drawing/2014/main" id="{00000000-0008-0000-0500-000001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2" name="Picture 5">
          <a:extLst>
            <a:ext uri="{FF2B5EF4-FFF2-40B4-BE49-F238E27FC236}">
              <a16:creationId xmlns:a16="http://schemas.microsoft.com/office/drawing/2014/main" id="{00000000-0008-0000-0500-000002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3" name="Picture 25">
          <a:extLst>
            <a:ext uri="{FF2B5EF4-FFF2-40B4-BE49-F238E27FC236}">
              <a16:creationId xmlns:a16="http://schemas.microsoft.com/office/drawing/2014/main" id="{00000000-0008-0000-0500-000003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4" name="Picture 26">
          <a:extLst>
            <a:ext uri="{FF2B5EF4-FFF2-40B4-BE49-F238E27FC236}">
              <a16:creationId xmlns:a16="http://schemas.microsoft.com/office/drawing/2014/main" id="{00000000-0008-0000-0500-000004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5" name="Picture 4">
          <a:extLst>
            <a:ext uri="{FF2B5EF4-FFF2-40B4-BE49-F238E27FC236}">
              <a16:creationId xmlns:a16="http://schemas.microsoft.com/office/drawing/2014/main" id="{00000000-0008-0000-0500-000005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6" name="Picture 5">
          <a:extLst>
            <a:ext uri="{FF2B5EF4-FFF2-40B4-BE49-F238E27FC236}">
              <a16:creationId xmlns:a16="http://schemas.microsoft.com/office/drawing/2014/main" id="{00000000-0008-0000-0500-000006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7" name="Picture 25">
          <a:extLst>
            <a:ext uri="{FF2B5EF4-FFF2-40B4-BE49-F238E27FC236}">
              <a16:creationId xmlns:a16="http://schemas.microsoft.com/office/drawing/2014/main" id="{00000000-0008-0000-0500-000007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8" name="Picture 26">
          <a:extLst>
            <a:ext uri="{FF2B5EF4-FFF2-40B4-BE49-F238E27FC236}">
              <a16:creationId xmlns:a16="http://schemas.microsoft.com/office/drawing/2014/main" id="{00000000-0008-0000-0500-000008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69" name="Picture 4">
          <a:extLst>
            <a:ext uri="{FF2B5EF4-FFF2-40B4-BE49-F238E27FC236}">
              <a16:creationId xmlns:a16="http://schemas.microsoft.com/office/drawing/2014/main" id="{00000000-0008-0000-0500-000009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70" name="Picture 5">
          <a:extLst>
            <a:ext uri="{FF2B5EF4-FFF2-40B4-BE49-F238E27FC236}">
              <a16:creationId xmlns:a16="http://schemas.microsoft.com/office/drawing/2014/main" id="{00000000-0008-0000-0500-00000A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71" name="Picture 25">
          <a:extLst>
            <a:ext uri="{FF2B5EF4-FFF2-40B4-BE49-F238E27FC236}">
              <a16:creationId xmlns:a16="http://schemas.microsoft.com/office/drawing/2014/main" id="{00000000-0008-0000-0500-00000B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8172" name="Picture 26">
          <a:extLst>
            <a:ext uri="{FF2B5EF4-FFF2-40B4-BE49-F238E27FC236}">
              <a16:creationId xmlns:a16="http://schemas.microsoft.com/office/drawing/2014/main" id="{00000000-0008-0000-0500-00000C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57785</xdr:colOff>
      <xdr:row>0</xdr:row>
      <xdr:rowOff>20320</xdr:rowOff>
    </xdr:from>
    <xdr:to>
      <xdr:col>4</xdr:col>
      <xdr:colOff>584835</xdr:colOff>
      <xdr:row>0</xdr:row>
      <xdr:rowOff>345440</xdr:rowOff>
    </xdr:to>
    <xdr:pic>
      <xdr:nvPicPr>
        <xdr:cNvPr id="668173" name="图片 2" descr="45e5daac9cce0f865117669d52f4173">
          <a:extLst>
            <a:ext uri="{FF2B5EF4-FFF2-40B4-BE49-F238E27FC236}">
              <a16:creationId xmlns:a16="http://schemas.microsoft.com/office/drawing/2014/main" id="{00000000-0008-0000-0500-00000D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785" y="2032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29210</xdr:colOff>
      <xdr:row>35</xdr:row>
      <xdr:rowOff>29210</xdr:rowOff>
    </xdr:from>
    <xdr:to>
      <xdr:col>4</xdr:col>
      <xdr:colOff>556260</xdr:colOff>
      <xdr:row>35</xdr:row>
      <xdr:rowOff>354330</xdr:rowOff>
    </xdr:to>
    <xdr:pic>
      <xdr:nvPicPr>
        <xdr:cNvPr id="668174" name="图片 3" descr="45e5daac9cce0f865117669d52f4173">
          <a:extLst>
            <a:ext uri="{FF2B5EF4-FFF2-40B4-BE49-F238E27FC236}">
              <a16:creationId xmlns:a16="http://schemas.microsoft.com/office/drawing/2014/main" id="{00000000-0008-0000-0500-00000E32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10" y="994410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064" name="Picture 15">
          <a:extLst>
            <a:ext uri="{FF2B5EF4-FFF2-40B4-BE49-F238E27FC236}">
              <a16:creationId xmlns:a16="http://schemas.microsoft.com/office/drawing/2014/main" id="{00000000-0008-0000-0600-00008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065" name="Picture 16">
          <a:extLst>
            <a:ext uri="{FF2B5EF4-FFF2-40B4-BE49-F238E27FC236}">
              <a16:creationId xmlns:a16="http://schemas.microsoft.com/office/drawing/2014/main" id="{00000000-0008-0000-0600-00008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066" name="Picture 36">
          <a:extLst>
            <a:ext uri="{FF2B5EF4-FFF2-40B4-BE49-F238E27FC236}">
              <a16:creationId xmlns:a16="http://schemas.microsoft.com/office/drawing/2014/main" id="{00000000-0008-0000-0600-00008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067" name="Picture 37">
          <a:extLst>
            <a:ext uri="{FF2B5EF4-FFF2-40B4-BE49-F238E27FC236}">
              <a16:creationId xmlns:a16="http://schemas.microsoft.com/office/drawing/2014/main" id="{00000000-0008-0000-0600-00008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68" name="Picture 4">
          <a:extLst>
            <a:ext uri="{FF2B5EF4-FFF2-40B4-BE49-F238E27FC236}">
              <a16:creationId xmlns:a16="http://schemas.microsoft.com/office/drawing/2014/main" id="{00000000-0008-0000-0600-00008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69" name="Picture 5">
          <a:extLst>
            <a:ext uri="{FF2B5EF4-FFF2-40B4-BE49-F238E27FC236}">
              <a16:creationId xmlns:a16="http://schemas.microsoft.com/office/drawing/2014/main" id="{00000000-0008-0000-0600-00008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0" name="Picture 25">
          <a:extLst>
            <a:ext uri="{FF2B5EF4-FFF2-40B4-BE49-F238E27FC236}">
              <a16:creationId xmlns:a16="http://schemas.microsoft.com/office/drawing/2014/main" id="{00000000-0008-0000-0600-00008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1" name="Picture 26">
          <a:extLst>
            <a:ext uri="{FF2B5EF4-FFF2-40B4-BE49-F238E27FC236}">
              <a16:creationId xmlns:a16="http://schemas.microsoft.com/office/drawing/2014/main" id="{00000000-0008-0000-0600-00008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2" name="Picture 4">
          <a:extLst>
            <a:ext uri="{FF2B5EF4-FFF2-40B4-BE49-F238E27FC236}">
              <a16:creationId xmlns:a16="http://schemas.microsoft.com/office/drawing/2014/main" id="{00000000-0008-0000-0600-000090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3" name="Picture 5">
          <a:extLst>
            <a:ext uri="{FF2B5EF4-FFF2-40B4-BE49-F238E27FC236}">
              <a16:creationId xmlns:a16="http://schemas.microsoft.com/office/drawing/2014/main" id="{00000000-0008-0000-0600-000091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4" name="Picture 25">
          <a:extLst>
            <a:ext uri="{FF2B5EF4-FFF2-40B4-BE49-F238E27FC236}">
              <a16:creationId xmlns:a16="http://schemas.microsoft.com/office/drawing/2014/main" id="{00000000-0008-0000-0600-000092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5" name="Picture 26">
          <a:extLst>
            <a:ext uri="{FF2B5EF4-FFF2-40B4-BE49-F238E27FC236}">
              <a16:creationId xmlns:a16="http://schemas.microsoft.com/office/drawing/2014/main" id="{00000000-0008-0000-0600-000093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6" name="Picture 4">
          <a:extLst>
            <a:ext uri="{FF2B5EF4-FFF2-40B4-BE49-F238E27FC236}">
              <a16:creationId xmlns:a16="http://schemas.microsoft.com/office/drawing/2014/main" id="{00000000-0008-0000-0600-000094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7" name="Picture 5">
          <a:extLst>
            <a:ext uri="{FF2B5EF4-FFF2-40B4-BE49-F238E27FC236}">
              <a16:creationId xmlns:a16="http://schemas.microsoft.com/office/drawing/2014/main" id="{00000000-0008-0000-0600-000095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8" name="Picture 25">
          <a:extLst>
            <a:ext uri="{FF2B5EF4-FFF2-40B4-BE49-F238E27FC236}">
              <a16:creationId xmlns:a16="http://schemas.microsoft.com/office/drawing/2014/main" id="{00000000-0008-0000-0600-000096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79" name="Picture 26">
          <a:extLst>
            <a:ext uri="{FF2B5EF4-FFF2-40B4-BE49-F238E27FC236}">
              <a16:creationId xmlns:a16="http://schemas.microsoft.com/office/drawing/2014/main" id="{00000000-0008-0000-0600-000097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0" name="Picture 4">
          <a:extLst>
            <a:ext uri="{FF2B5EF4-FFF2-40B4-BE49-F238E27FC236}">
              <a16:creationId xmlns:a16="http://schemas.microsoft.com/office/drawing/2014/main" id="{00000000-0008-0000-0600-00009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1" name="Picture 5">
          <a:extLst>
            <a:ext uri="{FF2B5EF4-FFF2-40B4-BE49-F238E27FC236}">
              <a16:creationId xmlns:a16="http://schemas.microsoft.com/office/drawing/2014/main" id="{00000000-0008-0000-0600-00009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2" name="Picture 25">
          <a:extLst>
            <a:ext uri="{FF2B5EF4-FFF2-40B4-BE49-F238E27FC236}">
              <a16:creationId xmlns:a16="http://schemas.microsoft.com/office/drawing/2014/main" id="{00000000-0008-0000-0600-00009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3" name="Picture 26">
          <a:extLst>
            <a:ext uri="{FF2B5EF4-FFF2-40B4-BE49-F238E27FC236}">
              <a16:creationId xmlns:a16="http://schemas.microsoft.com/office/drawing/2014/main" id="{00000000-0008-0000-0600-00009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4" name="Picture 4">
          <a:extLst>
            <a:ext uri="{FF2B5EF4-FFF2-40B4-BE49-F238E27FC236}">
              <a16:creationId xmlns:a16="http://schemas.microsoft.com/office/drawing/2014/main" id="{00000000-0008-0000-0600-00009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5" name="Picture 5">
          <a:extLst>
            <a:ext uri="{FF2B5EF4-FFF2-40B4-BE49-F238E27FC236}">
              <a16:creationId xmlns:a16="http://schemas.microsoft.com/office/drawing/2014/main" id="{00000000-0008-0000-0600-00009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6" name="Picture 25">
          <a:extLst>
            <a:ext uri="{FF2B5EF4-FFF2-40B4-BE49-F238E27FC236}">
              <a16:creationId xmlns:a16="http://schemas.microsoft.com/office/drawing/2014/main" id="{00000000-0008-0000-0600-00009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7" name="Picture 26">
          <a:extLst>
            <a:ext uri="{FF2B5EF4-FFF2-40B4-BE49-F238E27FC236}">
              <a16:creationId xmlns:a16="http://schemas.microsoft.com/office/drawing/2014/main" id="{00000000-0008-0000-0600-00009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8" name="Picture 4">
          <a:extLst>
            <a:ext uri="{FF2B5EF4-FFF2-40B4-BE49-F238E27FC236}">
              <a16:creationId xmlns:a16="http://schemas.microsoft.com/office/drawing/2014/main" id="{00000000-0008-0000-0600-0000A0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89" name="Picture 5">
          <a:extLst>
            <a:ext uri="{FF2B5EF4-FFF2-40B4-BE49-F238E27FC236}">
              <a16:creationId xmlns:a16="http://schemas.microsoft.com/office/drawing/2014/main" id="{00000000-0008-0000-0600-0000A1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0" name="Picture 25">
          <a:extLst>
            <a:ext uri="{FF2B5EF4-FFF2-40B4-BE49-F238E27FC236}">
              <a16:creationId xmlns:a16="http://schemas.microsoft.com/office/drawing/2014/main" id="{00000000-0008-0000-0600-0000A2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1" name="Picture 26">
          <a:extLst>
            <a:ext uri="{FF2B5EF4-FFF2-40B4-BE49-F238E27FC236}">
              <a16:creationId xmlns:a16="http://schemas.microsoft.com/office/drawing/2014/main" id="{00000000-0008-0000-0600-0000A3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2" name="Picture 4">
          <a:extLst>
            <a:ext uri="{FF2B5EF4-FFF2-40B4-BE49-F238E27FC236}">
              <a16:creationId xmlns:a16="http://schemas.microsoft.com/office/drawing/2014/main" id="{00000000-0008-0000-0600-0000A4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3" name="Picture 5">
          <a:extLst>
            <a:ext uri="{FF2B5EF4-FFF2-40B4-BE49-F238E27FC236}">
              <a16:creationId xmlns:a16="http://schemas.microsoft.com/office/drawing/2014/main" id="{00000000-0008-0000-0600-0000A5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4" name="Picture 25">
          <a:extLst>
            <a:ext uri="{FF2B5EF4-FFF2-40B4-BE49-F238E27FC236}">
              <a16:creationId xmlns:a16="http://schemas.microsoft.com/office/drawing/2014/main" id="{00000000-0008-0000-0600-0000A6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5" name="Picture 26">
          <a:extLst>
            <a:ext uri="{FF2B5EF4-FFF2-40B4-BE49-F238E27FC236}">
              <a16:creationId xmlns:a16="http://schemas.microsoft.com/office/drawing/2014/main" id="{00000000-0008-0000-0600-0000A7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6" name="Picture 4">
          <a:extLst>
            <a:ext uri="{FF2B5EF4-FFF2-40B4-BE49-F238E27FC236}">
              <a16:creationId xmlns:a16="http://schemas.microsoft.com/office/drawing/2014/main" id="{00000000-0008-0000-0600-0000A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7" name="Picture 5">
          <a:extLst>
            <a:ext uri="{FF2B5EF4-FFF2-40B4-BE49-F238E27FC236}">
              <a16:creationId xmlns:a16="http://schemas.microsoft.com/office/drawing/2014/main" id="{00000000-0008-0000-0600-0000A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8" name="Picture 25">
          <a:extLst>
            <a:ext uri="{FF2B5EF4-FFF2-40B4-BE49-F238E27FC236}">
              <a16:creationId xmlns:a16="http://schemas.microsoft.com/office/drawing/2014/main" id="{00000000-0008-0000-0600-0000A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099" name="Picture 26">
          <a:extLst>
            <a:ext uri="{FF2B5EF4-FFF2-40B4-BE49-F238E27FC236}">
              <a16:creationId xmlns:a16="http://schemas.microsoft.com/office/drawing/2014/main" id="{00000000-0008-0000-0600-0000A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0" name="Picture 4">
          <a:extLst>
            <a:ext uri="{FF2B5EF4-FFF2-40B4-BE49-F238E27FC236}">
              <a16:creationId xmlns:a16="http://schemas.microsoft.com/office/drawing/2014/main" id="{00000000-0008-0000-0600-0000A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1" name="Picture 5">
          <a:extLst>
            <a:ext uri="{FF2B5EF4-FFF2-40B4-BE49-F238E27FC236}">
              <a16:creationId xmlns:a16="http://schemas.microsoft.com/office/drawing/2014/main" id="{00000000-0008-0000-0600-0000A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2" name="Picture 25">
          <a:extLst>
            <a:ext uri="{FF2B5EF4-FFF2-40B4-BE49-F238E27FC236}">
              <a16:creationId xmlns:a16="http://schemas.microsoft.com/office/drawing/2014/main" id="{00000000-0008-0000-0600-0000A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3" name="Picture 26">
          <a:extLst>
            <a:ext uri="{FF2B5EF4-FFF2-40B4-BE49-F238E27FC236}">
              <a16:creationId xmlns:a16="http://schemas.microsoft.com/office/drawing/2014/main" id="{00000000-0008-0000-0600-0000A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4" name="Picture 4">
          <a:extLst>
            <a:ext uri="{FF2B5EF4-FFF2-40B4-BE49-F238E27FC236}">
              <a16:creationId xmlns:a16="http://schemas.microsoft.com/office/drawing/2014/main" id="{00000000-0008-0000-0600-0000B0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5" name="Picture 5">
          <a:extLst>
            <a:ext uri="{FF2B5EF4-FFF2-40B4-BE49-F238E27FC236}">
              <a16:creationId xmlns:a16="http://schemas.microsoft.com/office/drawing/2014/main" id="{00000000-0008-0000-0600-0000B1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6" name="Picture 25">
          <a:extLst>
            <a:ext uri="{FF2B5EF4-FFF2-40B4-BE49-F238E27FC236}">
              <a16:creationId xmlns:a16="http://schemas.microsoft.com/office/drawing/2014/main" id="{00000000-0008-0000-0600-0000B2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07" name="Picture 26">
          <a:extLst>
            <a:ext uri="{FF2B5EF4-FFF2-40B4-BE49-F238E27FC236}">
              <a16:creationId xmlns:a16="http://schemas.microsoft.com/office/drawing/2014/main" id="{00000000-0008-0000-0600-0000B3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583565</xdr:colOff>
      <xdr:row>5</xdr:row>
      <xdr:rowOff>192405</xdr:rowOff>
    </xdr:to>
    <xdr:sp macro="[0]!_xlnm.ww5" textlink="">
      <xdr:nvSpPr>
        <xdr:cNvPr id="2" name="矩形 4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561320" y="1298575"/>
          <a:ext cx="1955165" cy="430530"/>
        </a:xfrm>
        <a:prstGeom prst="rect">
          <a:avLst/>
        </a:prstGeom>
        <a:ln w="28575">
          <a:prstDash val="solid"/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/>
            <a:t>导入电子收费单</a:t>
          </a:r>
          <a:r>
            <a:rPr lang="en-US" altLang="zh-CN" sz="1800" b="1"/>
            <a:t>5</a:t>
          </a:r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09" name="Picture 15">
          <a:extLst>
            <a:ext uri="{FF2B5EF4-FFF2-40B4-BE49-F238E27FC236}">
              <a16:creationId xmlns:a16="http://schemas.microsoft.com/office/drawing/2014/main" id="{00000000-0008-0000-0600-0000B5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10" name="Picture 16">
          <a:extLst>
            <a:ext uri="{FF2B5EF4-FFF2-40B4-BE49-F238E27FC236}">
              <a16:creationId xmlns:a16="http://schemas.microsoft.com/office/drawing/2014/main" id="{00000000-0008-0000-0600-0000B6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11" name="Picture 36">
          <a:extLst>
            <a:ext uri="{FF2B5EF4-FFF2-40B4-BE49-F238E27FC236}">
              <a16:creationId xmlns:a16="http://schemas.microsoft.com/office/drawing/2014/main" id="{00000000-0008-0000-0600-0000B7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12" name="Picture 37">
          <a:extLst>
            <a:ext uri="{FF2B5EF4-FFF2-40B4-BE49-F238E27FC236}">
              <a16:creationId xmlns:a16="http://schemas.microsoft.com/office/drawing/2014/main" id="{00000000-0008-0000-0600-0000B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13" name="Picture 4">
          <a:extLst>
            <a:ext uri="{FF2B5EF4-FFF2-40B4-BE49-F238E27FC236}">
              <a16:creationId xmlns:a16="http://schemas.microsoft.com/office/drawing/2014/main" id="{00000000-0008-0000-0600-0000B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14" name="Picture 5">
          <a:extLst>
            <a:ext uri="{FF2B5EF4-FFF2-40B4-BE49-F238E27FC236}">
              <a16:creationId xmlns:a16="http://schemas.microsoft.com/office/drawing/2014/main" id="{00000000-0008-0000-0600-0000B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15" name="Picture 25">
          <a:extLst>
            <a:ext uri="{FF2B5EF4-FFF2-40B4-BE49-F238E27FC236}">
              <a16:creationId xmlns:a16="http://schemas.microsoft.com/office/drawing/2014/main" id="{00000000-0008-0000-0600-0000B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16" name="Picture 26">
          <a:extLst>
            <a:ext uri="{FF2B5EF4-FFF2-40B4-BE49-F238E27FC236}">
              <a16:creationId xmlns:a16="http://schemas.microsoft.com/office/drawing/2014/main" id="{00000000-0008-0000-0600-0000B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17" name="Picture 4">
          <a:extLst>
            <a:ext uri="{FF2B5EF4-FFF2-40B4-BE49-F238E27FC236}">
              <a16:creationId xmlns:a16="http://schemas.microsoft.com/office/drawing/2014/main" id="{00000000-0008-0000-0600-0000B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18" name="Picture 5">
          <a:extLst>
            <a:ext uri="{FF2B5EF4-FFF2-40B4-BE49-F238E27FC236}">
              <a16:creationId xmlns:a16="http://schemas.microsoft.com/office/drawing/2014/main" id="{00000000-0008-0000-0600-0000B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19" name="Picture 25">
          <a:extLst>
            <a:ext uri="{FF2B5EF4-FFF2-40B4-BE49-F238E27FC236}">
              <a16:creationId xmlns:a16="http://schemas.microsoft.com/office/drawing/2014/main" id="{00000000-0008-0000-0600-0000B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0" name="Picture 26">
          <a:extLst>
            <a:ext uri="{FF2B5EF4-FFF2-40B4-BE49-F238E27FC236}">
              <a16:creationId xmlns:a16="http://schemas.microsoft.com/office/drawing/2014/main" id="{00000000-0008-0000-0600-0000C0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1" name="Picture 4">
          <a:extLst>
            <a:ext uri="{FF2B5EF4-FFF2-40B4-BE49-F238E27FC236}">
              <a16:creationId xmlns:a16="http://schemas.microsoft.com/office/drawing/2014/main" id="{00000000-0008-0000-0600-0000C1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2" name="Picture 5">
          <a:extLst>
            <a:ext uri="{FF2B5EF4-FFF2-40B4-BE49-F238E27FC236}">
              <a16:creationId xmlns:a16="http://schemas.microsoft.com/office/drawing/2014/main" id="{00000000-0008-0000-0600-0000C2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3" name="Picture 25">
          <a:extLst>
            <a:ext uri="{FF2B5EF4-FFF2-40B4-BE49-F238E27FC236}">
              <a16:creationId xmlns:a16="http://schemas.microsoft.com/office/drawing/2014/main" id="{00000000-0008-0000-0600-0000C3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4" name="Picture 26">
          <a:extLst>
            <a:ext uri="{FF2B5EF4-FFF2-40B4-BE49-F238E27FC236}">
              <a16:creationId xmlns:a16="http://schemas.microsoft.com/office/drawing/2014/main" id="{00000000-0008-0000-0600-0000C4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5" name="Picture 4">
          <a:extLst>
            <a:ext uri="{FF2B5EF4-FFF2-40B4-BE49-F238E27FC236}">
              <a16:creationId xmlns:a16="http://schemas.microsoft.com/office/drawing/2014/main" id="{00000000-0008-0000-0600-0000C5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6" name="Picture 5">
          <a:extLst>
            <a:ext uri="{FF2B5EF4-FFF2-40B4-BE49-F238E27FC236}">
              <a16:creationId xmlns:a16="http://schemas.microsoft.com/office/drawing/2014/main" id="{00000000-0008-0000-0600-0000C6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7" name="Picture 25">
          <a:extLst>
            <a:ext uri="{FF2B5EF4-FFF2-40B4-BE49-F238E27FC236}">
              <a16:creationId xmlns:a16="http://schemas.microsoft.com/office/drawing/2014/main" id="{00000000-0008-0000-0600-0000C7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8" name="Picture 26">
          <a:extLst>
            <a:ext uri="{FF2B5EF4-FFF2-40B4-BE49-F238E27FC236}">
              <a16:creationId xmlns:a16="http://schemas.microsoft.com/office/drawing/2014/main" id="{00000000-0008-0000-0600-0000C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29" name="Picture 4">
          <a:extLst>
            <a:ext uri="{FF2B5EF4-FFF2-40B4-BE49-F238E27FC236}">
              <a16:creationId xmlns:a16="http://schemas.microsoft.com/office/drawing/2014/main" id="{00000000-0008-0000-0600-0000C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0" name="Picture 5">
          <a:extLst>
            <a:ext uri="{FF2B5EF4-FFF2-40B4-BE49-F238E27FC236}">
              <a16:creationId xmlns:a16="http://schemas.microsoft.com/office/drawing/2014/main" id="{00000000-0008-0000-0600-0000C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1" name="Picture 25">
          <a:extLst>
            <a:ext uri="{FF2B5EF4-FFF2-40B4-BE49-F238E27FC236}">
              <a16:creationId xmlns:a16="http://schemas.microsoft.com/office/drawing/2014/main" id="{00000000-0008-0000-0600-0000C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2" name="Picture 26">
          <a:extLst>
            <a:ext uri="{FF2B5EF4-FFF2-40B4-BE49-F238E27FC236}">
              <a16:creationId xmlns:a16="http://schemas.microsoft.com/office/drawing/2014/main" id="{00000000-0008-0000-0600-0000C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3" name="Picture 4">
          <a:extLst>
            <a:ext uri="{FF2B5EF4-FFF2-40B4-BE49-F238E27FC236}">
              <a16:creationId xmlns:a16="http://schemas.microsoft.com/office/drawing/2014/main" id="{00000000-0008-0000-0600-0000C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4" name="Picture 5">
          <a:extLst>
            <a:ext uri="{FF2B5EF4-FFF2-40B4-BE49-F238E27FC236}">
              <a16:creationId xmlns:a16="http://schemas.microsoft.com/office/drawing/2014/main" id="{00000000-0008-0000-0600-0000C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5" name="Picture 25">
          <a:extLst>
            <a:ext uri="{FF2B5EF4-FFF2-40B4-BE49-F238E27FC236}">
              <a16:creationId xmlns:a16="http://schemas.microsoft.com/office/drawing/2014/main" id="{00000000-0008-0000-0600-0000C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6" name="Picture 26">
          <a:extLst>
            <a:ext uri="{FF2B5EF4-FFF2-40B4-BE49-F238E27FC236}">
              <a16:creationId xmlns:a16="http://schemas.microsoft.com/office/drawing/2014/main" id="{00000000-0008-0000-0600-0000D0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7" name="Picture 4">
          <a:extLst>
            <a:ext uri="{FF2B5EF4-FFF2-40B4-BE49-F238E27FC236}">
              <a16:creationId xmlns:a16="http://schemas.microsoft.com/office/drawing/2014/main" id="{00000000-0008-0000-0600-0000D1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8" name="Picture 5">
          <a:extLst>
            <a:ext uri="{FF2B5EF4-FFF2-40B4-BE49-F238E27FC236}">
              <a16:creationId xmlns:a16="http://schemas.microsoft.com/office/drawing/2014/main" id="{00000000-0008-0000-0600-0000D2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39" name="Picture 25">
          <a:extLst>
            <a:ext uri="{FF2B5EF4-FFF2-40B4-BE49-F238E27FC236}">
              <a16:creationId xmlns:a16="http://schemas.microsoft.com/office/drawing/2014/main" id="{00000000-0008-0000-0600-0000D3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0" name="Picture 26">
          <a:extLst>
            <a:ext uri="{FF2B5EF4-FFF2-40B4-BE49-F238E27FC236}">
              <a16:creationId xmlns:a16="http://schemas.microsoft.com/office/drawing/2014/main" id="{00000000-0008-0000-0600-0000D4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1" name="Picture 4">
          <a:extLst>
            <a:ext uri="{FF2B5EF4-FFF2-40B4-BE49-F238E27FC236}">
              <a16:creationId xmlns:a16="http://schemas.microsoft.com/office/drawing/2014/main" id="{00000000-0008-0000-0600-0000D5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2" name="Picture 5">
          <a:extLst>
            <a:ext uri="{FF2B5EF4-FFF2-40B4-BE49-F238E27FC236}">
              <a16:creationId xmlns:a16="http://schemas.microsoft.com/office/drawing/2014/main" id="{00000000-0008-0000-0600-0000D6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3" name="Picture 25">
          <a:extLst>
            <a:ext uri="{FF2B5EF4-FFF2-40B4-BE49-F238E27FC236}">
              <a16:creationId xmlns:a16="http://schemas.microsoft.com/office/drawing/2014/main" id="{00000000-0008-0000-0600-0000D7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4" name="Picture 26">
          <a:extLst>
            <a:ext uri="{FF2B5EF4-FFF2-40B4-BE49-F238E27FC236}">
              <a16:creationId xmlns:a16="http://schemas.microsoft.com/office/drawing/2014/main" id="{00000000-0008-0000-0600-0000D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5" name="Picture 4">
          <a:extLst>
            <a:ext uri="{FF2B5EF4-FFF2-40B4-BE49-F238E27FC236}">
              <a16:creationId xmlns:a16="http://schemas.microsoft.com/office/drawing/2014/main" id="{00000000-0008-0000-0600-0000D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6" name="Picture 5">
          <a:extLst>
            <a:ext uri="{FF2B5EF4-FFF2-40B4-BE49-F238E27FC236}">
              <a16:creationId xmlns:a16="http://schemas.microsoft.com/office/drawing/2014/main" id="{00000000-0008-0000-0600-0000D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7" name="Picture 25">
          <a:extLst>
            <a:ext uri="{FF2B5EF4-FFF2-40B4-BE49-F238E27FC236}">
              <a16:creationId xmlns:a16="http://schemas.microsoft.com/office/drawing/2014/main" id="{00000000-0008-0000-0600-0000D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8" name="Picture 26">
          <a:extLst>
            <a:ext uri="{FF2B5EF4-FFF2-40B4-BE49-F238E27FC236}">
              <a16:creationId xmlns:a16="http://schemas.microsoft.com/office/drawing/2014/main" id="{00000000-0008-0000-0600-0000D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49" name="Picture 4">
          <a:extLst>
            <a:ext uri="{FF2B5EF4-FFF2-40B4-BE49-F238E27FC236}">
              <a16:creationId xmlns:a16="http://schemas.microsoft.com/office/drawing/2014/main" id="{00000000-0008-0000-0600-0000D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50" name="Picture 5">
          <a:extLst>
            <a:ext uri="{FF2B5EF4-FFF2-40B4-BE49-F238E27FC236}">
              <a16:creationId xmlns:a16="http://schemas.microsoft.com/office/drawing/2014/main" id="{00000000-0008-0000-0600-0000D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51" name="Picture 25">
          <a:extLst>
            <a:ext uri="{FF2B5EF4-FFF2-40B4-BE49-F238E27FC236}">
              <a16:creationId xmlns:a16="http://schemas.microsoft.com/office/drawing/2014/main" id="{00000000-0008-0000-0600-0000D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52" name="Picture 26">
          <a:extLst>
            <a:ext uri="{FF2B5EF4-FFF2-40B4-BE49-F238E27FC236}">
              <a16:creationId xmlns:a16="http://schemas.microsoft.com/office/drawing/2014/main" id="{00000000-0008-0000-0600-0000E0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53" name="Picture 15">
          <a:extLst>
            <a:ext uri="{FF2B5EF4-FFF2-40B4-BE49-F238E27FC236}">
              <a16:creationId xmlns:a16="http://schemas.microsoft.com/office/drawing/2014/main" id="{00000000-0008-0000-0600-0000E1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54" name="Picture 16">
          <a:extLst>
            <a:ext uri="{FF2B5EF4-FFF2-40B4-BE49-F238E27FC236}">
              <a16:creationId xmlns:a16="http://schemas.microsoft.com/office/drawing/2014/main" id="{00000000-0008-0000-0600-0000E2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55" name="Picture 36">
          <a:extLst>
            <a:ext uri="{FF2B5EF4-FFF2-40B4-BE49-F238E27FC236}">
              <a16:creationId xmlns:a16="http://schemas.microsoft.com/office/drawing/2014/main" id="{00000000-0008-0000-0600-0000E3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156" name="Picture 37">
          <a:extLst>
            <a:ext uri="{FF2B5EF4-FFF2-40B4-BE49-F238E27FC236}">
              <a16:creationId xmlns:a16="http://schemas.microsoft.com/office/drawing/2014/main" id="{00000000-0008-0000-0600-0000E4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57" name="Picture 4">
          <a:extLst>
            <a:ext uri="{FF2B5EF4-FFF2-40B4-BE49-F238E27FC236}">
              <a16:creationId xmlns:a16="http://schemas.microsoft.com/office/drawing/2014/main" id="{00000000-0008-0000-0600-0000E5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58" name="Picture 5">
          <a:extLst>
            <a:ext uri="{FF2B5EF4-FFF2-40B4-BE49-F238E27FC236}">
              <a16:creationId xmlns:a16="http://schemas.microsoft.com/office/drawing/2014/main" id="{00000000-0008-0000-0600-0000E6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59" name="Picture 25">
          <a:extLst>
            <a:ext uri="{FF2B5EF4-FFF2-40B4-BE49-F238E27FC236}">
              <a16:creationId xmlns:a16="http://schemas.microsoft.com/office/drawing/2014/main" id="{00000000-0008-0000-0600-0000E7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0" name="Picture 26">
          <a:extLst>
            <a:ext uri="{FF2B5EF4-FFF2-40B4-BE49-F238E27FC236}">
              <a16:creationId xmlns:a16="http://schemas.microsoft.com/office/drawing/2014/main" id="{00000000-0008-0000-0600-0000E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1" name="Picture 4">
          <a:extLst>
            <a:ext uri="{FF2B5EF4-FFF2-40B4-BE49-F238E27FC236}">
              <a16:creationId xmlns:a16="http://schemas.microsoft.com/office/drawing/2014/main" id="{00000000-0008-0000-0600-0000E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2" name="Picture 5">
          <a:extLst>
            <a:ext uri="{FF2B5EF4-FFF2-40B4-BE49-F238E27FC236}">
              <a16:creationId xmlns:a16="http://schemas.microsoft.com/office/drawing/2014/main" id="{00000000-0008-0000-0600-0000E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3" name="Picture 25">
          <a:extLst>
            <a:ext uri="{FF2B5EF4-FFF2-40B4-BE49-F238E27FC236}">
              <a16:creationId xmlns:a16="http://schemas.microsoft.com/office/drawing/2014/main" id="{00000000-0008-0000-0600-0000E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4" name="Picture 26">
          <a:extLst>
            <a:ext uri="{FF2B5EF4-FFF2-40B4-BE49-F238E27FC236}">
              <a16:creationId xmlns:a16="http://schemas.microsoft.com/office/drawing/2014/main" id="{00000000-0008-0000-0600-0000E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5" name="Picture 4">
          <a:extLst>
            <a:ext uri="{FF2B5EF4-FFF2-40B4-BE49-F238E27FC236}">
              <a16:creationId xmlns:a16="http://schemas.microsoft.com/office/drawing/2014/main" id="{00000000-0008-0000-0600-0000E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6" name="Picture 5">
          <a:extLst>
            <a:ext uri="{FF2B5EF4-FFF2-40B4-BE49-F238E27FC236}">
              <a16:creationId xmlns:a16="http://schemas.microsoft.com/office/drawing/2014/main" id="{00000000-0008-0000-0600-0000E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7" name="Picture 25">
          <a:extLst>
            <a:ext uri="{FF2B5EF4-FFF2-40B4-BE49-F238E27FC236}">
              <a16:creationId xmlns:a16="http://schemas.microsoft.com/office/drawing/2014/main" id="{00000000-0008-0000-0600-0000E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8" name="Picture 26">
          <a:extLst>
            <a:ext uri="{FF2B5EF4-FFF2-40B4-BE49-F238E27FC236}">
              <a16:creationId xmlns:a16="http://schemas.microsoft.com/office/drawing/2014/main" id="{00000000-0008-0000-0600-0000F0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69" name="Picture 4">
          <a:extLst>
            <a:ext uri="{FF2B5EF4-FFF2-40B4-BE49-F238E27FC236}">
              <a16:creationId xmlns:a16="http://schemas.microsoft.com/office/drawing/2014/main" id="{00000000-0008-0000-0600-0000F1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0" name="Picture 5">
          <a:extLst>
            <a:ext uri="{FF2B5EF4-FFF2-40B4-BE49-F238E27FC236}">
              <a16:creationId xmlns:a16="http://schemas.microsoft.com/office/drawing/2014/main" id="{00000000-0008-0000-0600-0000F2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1" name="Picture 25">
          <a:extLst>
            <a:ext uri="{FF2B5EF4-FFF2-40B4-BE49-F238E27FC236}">
              <a16:creationId xmlns:a16="http://schemas.microsoft.com/office/drawing/2014/main" id="{00000000-0008-0000-0600-0000F3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2" name="Picture 26">
          <a:extLst>
            <a:ext uri="{FF2B5EF4-FFF2-40B4-BE49-F238E27FC236}">
              <a16:creationId xmlns:a16="http://schemas.microsoft.com/office/drawing/2014/main" id="{00000000-0008-0000-0600-0000F4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3" name="Picture 4">
          <a:extLst>
            <a:ext uri="{FF2B5EF4-FFF2-40B4-BE49-F238E27FC236}">
              <a16:creationId xmlns:a16="http://schemas.microsoft.com/office/drawing/2014/main" id="{00000000-0008-0000-0600-0000F5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4" name="Picture 5">
          <a:extLst>
            <a:ext uri="{FF2B5EF4-FFF2-40B4-BE49-F238E27FC236}">
              <a16:creationId xmlns:a16="http://schemas.microsoft.com/office/drawing/2014/main" id="{00000000-0008-0000-0600-0000F6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5" name="Picture 25">
          <a:extLst>
            <a:ext uri="{FF2B5EF4-FFF2-40B4-BE49-F238E27FC236}">
              <a16:creationId xmlns:a16="http://schemas.microsoft.com/office/drawing/2014/main" id="{00000000-0008-0000-0600-0000F7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6" name="Picture 26">
          <a:extLst>
            <a:ext uri="{FF2B5EF4-FFF2-40B4-BE49-F238E27FC236}">
              <a16:creationId xmlns:a16="http://schemas.microsoft.com/office/drawing/2014/main" id="{00000000-0008-0000-0600-0000F8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7" name="Picture 4">
          <a:extLst>
            <a:ext uri="{FF2B5EF4-FFF2-40B4-BE49-F238E27FC236}">
              <a16:creationId xmlns:a16="http://schemas.microsoft.com/office/drawing/2014/main" id="{00000000-0008-0000-0600-0000F9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8" name="Picture 5">
          <a:extLst>
            <a:ext uri="{FF2B5EF4-FFF2-40B4-BE49-F238E27FC236}">
              <a16:creationId xmlns:a16="http://schemas.microsoft.com/office/drawing/2014/main" id="{00000000-0008-0000-0600-0000FA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79" name="Picture 25">
          <a:extLst>
            <a:ext uri="{FF2B5EF4-FFF2-40B4-BE49-F238E27FC236}">
              <a16:creationId xmlns:a16="http://schemas.microsoft.com/office/drawing/2014/main" id="{00000000-0008-0000-0600-0000FB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0" name="Picture 26">
          <a:extLst>
            <a:ext uri="{FF2B5EF4-FFF2-40B4-BE49-F238E27FC236}">
              <a16:creationId xmlns:a16="http://schemas.microsoft.com/office/drawing/2014/main" id="{00000000-0008-0000-0600-0000FC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1" name="Picture 4">
          <a:extLst>
            <a:ext uri="{FF2B5EF4-FFF2-40B4-BE49-F238E27FC236}">
              <a16:creationId xmlns:a16="http://schemas.microsoft.com/office/drawing/2014/main" id="{00000000-0008-0000-0600-0000FD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2" name="Picture 5">
          <a:extLst>
            <a:ext uri="{FF2B5EF4-FFF2-40B4-BE49-F238E27FC236}">
              <a16:creationId xmlns:a16="http://schemas.microsoft.com/office/drawing/2014/main" id="{00000000-0008-0000-0600-0000FE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3" name="Picture 25">
          <a:extLst>
            <a:ext uri="{FF2B5EF4-FFF2-40B4-BE49-F238E27FC236}">
              <a16:creationId xmlns:a16="http://schemas.microsoft.com/office/drawing/2014/main" id="{00000000-0008-0000-0600-0000FF35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4" name="Picture 26">
          <a:extLst>
            <a:ext uri="{FF2B5EF4-FFF2-40B4-BE49-F238E27FC236}">
              <a16:creationId xmlns:a16="http://schemas.microsoft.com/office/drawing/2014/main" id="{00000000-0008-0000-0600-000000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5" name="Picture 4">
          <a:extLst>
            <a:ext uri="{FF2B5EF4-FFF2-40B4-BE49-F238E27FC236}">
              <a16:creationId xmlns:a16="http://schemas.microsoft.com/office/drawing/2014/main" id="{00000000-0008-0000-0600-000001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6" name="Picture 5">
          <a:extLst>
            <a:ext uri="{FF2B5EF4-FFF2-40B4-BE49-F238E27FC236}">
              <a16:creationId xmlns:a16="http://schemas.microsoft.com/office/drawing/2014/main" id="{00000000-0008-0000-0600-000002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7" name="Picture 25">
          <a:extLst>
            <a:ext uri="{FF2B5EF4-FFF2-40B4-BE49-F238E27FC236}">
              <a16:creationId xmlns:a16="http://schemas.microsoft.com/office/drawing/2014/main" id="{00000000-0008-0000-0600-000003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8" name="Picture 26">
          <a:extLst>
            <a:ext uri="{FF2B5EF4-FFF2-40B4-BE49-F238E27FC236}">
              <a16:creationId xmlns:a16="http://schemas.microsoft.com/office/drawing/2014/main" id="{00000000-0008-0000-0600-000004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89" name="Picture 4">
          <a:extLst>
            <a:ext uri="{FF2B5EF4-FFF2-40B4-BE49-F238E27FC236}">
              <a16:creationId xmlns:a16="http://schemas.microsoft.com/office/drawing/2014/main" id="{00000000-0008-0000-0600-000005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90" name="Picture 5">
          <a:extLst>
            <a:ext uri="{FF2B5EF4-FFF2-40B4-BE49-F238E27FC236}">
              <a16:creationId xmlns:a16="http://schemas.microsoft.com/office/drawing/2014/main" id="{00000000-0008-0000-0600-000006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91" name="Picture 25">
          <a:extLst>
            <a:ext uri="{FF2B5EF4-FFF2-40B4-BE49-F238E27FC236}">
              <a16:creationId xmlns:a16="http://schemas.microsoft.com/office/drawing/2014/main" id="{00000000-0008-0000-0600-000007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92" name="Picture 26">
          <a:extLst>
            <a:ext uri="{FF2B5EF4-FFF2-40B4-BE49-F238E27FC236}">
              <a16:creationId xmlns:a16="http://schemas.microsoft.com/office/drawing/2014/main" id="{00000000-0008-0000-0600-000008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93" name="Picture 4">
          <a:extLst>
            <a:ext uri="{FF2B5EF4-FFF2-40B4-BE49-F238E27FC236}">
              <a16:creationId xmlns:a16="http://schemas.microsoft.com/office/drawing/2014/main" id="{00000000-0008-0000-0600-000009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94" name="Picture 5">
          <a:extLst>
            <a:ext uri="{FF2B5EF4-FFF2-40B4-BE49-F238E27FC236}">
              <a16:creationId xmlns:a16="http://schemas.microsoft.com/office/drawing/2014/main" id="{00000000-0008-0000-0600-00000A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95" name="Picture 25">
          <a:extLst>
            <a:ext uri="{FF2B5EF4-FFF2-40B4-BE49-F238E27FC236}">
              <a16:creationId xmlns:a16="http://schemas.microsoft.com/office/drawing/2014/main" id="{00000000-0008-0000-0600-00000B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9196" name="Picture 26">
          <a:extLst>
            <a:ext uri="{FF2B5EF4-FFF2-40B4-BE49-F238E27FC236}">
              <a16:creationId xmlns:a16="http://schemas.microsoft.com/office/drawing/2014/main" id="{00000000-0008-0000-0600-00000C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48260</xdr:colOff>
      <xdr:row>0</xdr:row>
      <xdr:rowOff>29210</xdr:rowOff>
    </xdr:from>
    <xdr:to>
      <xdr:col>4</xdr:col>
      <xdr:colOff>575310</xdr:colOff>
      <xdr:row>0</xdr:row>
      <xdr:rowOff>354330</xdr:rowOff>
    </xdr:to>
    <xdr:pic>
      <xdr:nvPicPr>
        <xdr:cNvPr id="669197" name="图片 2" descr="45e5daac9cce0f865117669d52f4173">
          <a:extLst>
            <a:ext uri="{FF2B5EF4-FFF2-40B4-BE49-F238E27FC236}">
              <a16:creationId xmlns:a16="http://schemas.microsoft.com/office/drawing/2014/main" id="{00000000-0008-0000-0600-00000D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60" y="2921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635</xdr:colOff>
      <xdr:row>35</xdr:row>
      <xdr:rowOff>29210</xdr:rowOff>
    </xdr:from>
    <xdr:to>
      <xdr:col>4</xdr:col>
      <xdr:colOff>527685</xdr:colOff>
      <xdr:row>35</xdr:row>
      <xdr:rowOff>354330</xdr:rowOff>
    </xdr:to>
    <xdr:pic>
      <xdr:nvPicPr>
        <xdr:cNvPr id="669198" name="图片 3" descr="45e5daac9cce0f865117669d52f4173">
          <a:extLst>
            <a:ext uri="{FF2B5EF4-FFF2-40B4-BE49-F238E27FC236}">
              <a16:creationId xmlns:a16="http://schemas.microsoft.com/office/drawing/2014/main" id="{00000000-0008-0000-0600-00000E3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" y="994410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272" name="Picture 15">
          <a:extLst>
            <a:ext uri="{FF2B5EF4-FFF2-40B4-BE49-F238E27FC236}">
              <a16:creationId xmlns:a16="http://schemas.microsoft.com/office/drawing/2014/main" id="{00000000-0008-0000-0700-0000B8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273" name="Picture 16">
          <a:extLst>
            <a:ext uri="{FF2B5EF4-FFF2-40B4-BE49-F238E27FC236}">
              <a16:creationId xmlns:a16="http://schemas.microsoft.com/office/drawing/2014/main" id="{00000000-0008-0000-0700-0000B9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274" name="Picture 36">
          <a:extLst>
            <a:ext uri="{FF2B5EF4-FFF2-40B4-BE49-F238E27FC236}">
              <a16:creationId xmlns:a16="http://schemas.microsoft.com/office/drawing/2014/main" id="{00000000-0008-0000-0700-0000BA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275" name="Picture 37">
          <a:extLst>
            <a:ext uri="{FF2B5EF4-FFF2-40B4-BE49-F238E27FC236}">
              <a16:creationId xmlns:a16="http://schemas.microsoft.com/office/drawing/2014/main" id="{00000000-0008-0000-0700-0000BB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76" name="Picture 4">
          <a:extLst>
            <a:ext uri="{FF2B5EF4-FFF2-40B4-BE49-F238E27FC236}">
              <a16:creationId xmlns:a16="http://schemas.microsoft.com/office/drawing/2014/main" id="{00000000-0008-0000-0700-0000BC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77" name="Picture 5">
          <a:extLst>
            <a:ext uri="{FF2B5EF4-FFF2-40B4-BE49-F238E27FC236}">
              <a16:creationId xmlns:a16="http://schemas.microsoft.com/office/drawing/2014/main" id="{00000000-0008-0000-0700-0000BD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78" name="Picture 25">
          <a:extLst>
            <a:ext uri="{FF2B5EF4-FFF2-40B4-BE49-F238E27FC236}">
              <a16:creationId xmlns:a16="http://schemas.microsoft.com/office/drawing/2014/main" id="{00000000-0008-0000-0700-0000BE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79" name="Picture 26">
          <a:extLst>
            <a:ext uri="{FF2B5EF4-FFF2-40B4-BE49-F238E27FC236}">
              <a16:creationId xmlns:a16="http://schemas.microsoft.com/office/drawing/2014/main" id="{00000000-0008-0000-0700-0000BF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0" name="Picture 4">
          <a:extLst>
            <a:ext uri="{FF2B5EF4-FFF2-40B4-BE49-F238E27FC236}">
              <a16:creationId xmlns:a16="http://schemas.microsoft.com/office/drawing/2014/main" id="{00000000-0008-0000-0700-0000C0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1" name="Picture 5">
          <a:extLst>
            <a:ext uri="{FF2B5EF4-FFF2-40B4-BE49-F238E27FC236}">
              <a16:creationId xmlns:a16="http://schemas.microsoft.com/office/drawing/2014/main" id="{00000000-0008-0000-0700-0000C1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2" name="Picture 25">
          <a:extLst>
            <a:ext uri="{FF2B5EF4-FFF2-40B4-BE49-F238E27FC236}">
              <a16:creationId xmlns:a16="http://schemas.microsoft.com/office/drawing/2014/main" id="{00000000-0008-0000-0700-0000C2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3" name="Picture 26">
          <a:extLst>
            <a:ext uri="{FF2B5EF4-FFF2-40B4-BE49-F238E27FC236}">
              <a16:creationId xmlns:a16="http://schemas.microsoft.com/office/drawing/2014/main" id="{00000000-0008-0000-0700-0000C3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4" name="Picture 4">
          <a:extLst>
            <a:ext uri="{FF2B5EF4-FFF2-40B4-BE49-F238E27FC236}">
              <a16:creationId xmlns:a16="http://schemas.microsoft.com/office/drawing/2014/main" id="{00000000-0008-0000-0700-0000C4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5" name="Picture 5">
          <a:extLst>
            <a:ext uri="{FF2B5EF4-FFF2-40B4-BE49-F238E27FC236}">
              <a16:creationId xmlns:a16="http://schemas.microsoft.com/office/drawing/2014/main" id="{00000000-0008-0000-0700-0000C5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6" name="Picture 25">
          <a:extLst>
            <a:ext uri="{FF2B5EF4-FFF2-40B4-BE49-F238E27FC236}">
              <a16:creationId xmlns:a16="http://schemas.microsoft.com/office/drawing/2014/main" id="{00000000-0008-0000-0700-0000C6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7" name="Picture 26">
          <a:extLst>
            <a:ext uri="{FF2B5EF4-FFF2-40B4-BE49-F238E27FC236}">
              <a16:creationId xmlns:a16="http://schemas.microsoft.com/office/drawing/2014/main" id="{00000000-0008-0000-0700-0000C7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8" name="Picture 4">
          <a:extLst>
            <a:ext uri="{FF2B5EF4-FFF2-40B4-BE49-F238E27FC236}">
              <a16:creationId xmlns:a16="http://schemas.microsoft.com/office/drawing/2014/main" id="{00000000-0008-0000-0700-0000C8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89" name="Picture 5">
          <a:extLst>
            <a:ext uri="{FF2B5EF4-FFF2-40B4-BE49-F238E27FC236}">
              <a16:creationId xmlns:a16="http://schemas.microsoft.com/office/drawing/2014/main" id="{00000000-0008-0000-0700-0000C9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0" name="Picture 25">
          <a:extLst>
            <a:ext uri="{FF2B5EF4-FFF2-40B4-BE49-F238E27FC236}">
              <a16:creationId xmlns:a16="http://schemas.microsoft.com/office/drawing/2014/main" id="{00000000-0008-0000-0700-0000CA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1" name="Picture 26">
          <a:extLst>
            <a:ext uri="{FF2B5EF4-FFF2-40B4-BE49-F238E27FC236}">
              <a16:creationId xmlns:a16="http://schemas.microsoft.com/office/drawing/2014/main" id="{00000000-0008-0000-0700-0000CB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2" name="Picture 4">
          <a:extLst>
            <a:ext uri="{FF2B5EF4-FFF2-40B4-BE49-F238E27FC236}">
              <a16:creationId xmlns:a16="http://schemas.microsoft.com/office/drawing/2014/main" id="{00000000-0008-0000-0700-0000CC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3" name="Picture 5">
          <a:extLst>
            <a:ext uri="{FF2B5EF4-FFF2-40B4-BE49-F238E27FC236}">
              <a16:creationId xmlns:a16="http://schemas.microsoft.com/office/drawing/2014/main" id="{00000000-0008-0000-0700-0000CD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4" name="Picture 25">
          <a:extLst>
            <a:ext uri="{FF2B5EF4-FFF2-40B4-BE49-F238E27FC236}">
              <a16:creationId xmlns:a16="http://schemas.microsoft.com/office/drawing/2014/main" id="{00000000-0008-0000-0700-0000CE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5" name="Picture 26">
          <a:extLst>
            <a:ext uri="{FF2B5EF4-FFF2-40B4-BE49-F238E27FC236}">
              <a16:creationId xmlns:a16="http://schemas.microsoft.com/office/drawing/2014/main" id="{00000000-0008-0000-0700-0000CF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6" name="Picture 4">
          <a:extLst>
            <a:ext uri="{FF2B5EF4-FFF2-40B4-BE49-F238E27FC236}">
              <a16:creationId xmlns:a16="http://schemas.microsoft.com/office/drawing/2014/main" id="{00000000-0008-0000-0700-0000D0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7" name="Picture 5">
          <a:extLst>
            <a:ext uri="{FF2B5EF4-FFF2-40B4-BE49-F238E27FC236}">
              <a16:creationId xmlns:a16="http://schemas.microsoft.com/office/drawing/2014/main" id="{00000000-0008-0000-0700-0000D1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8" name="Picture 25">
          <a:extLst>
            <a:ext uri="{FF2B5EF4-FFF2-40B4-BE49-F238E27FC236}">
              <a16:creationId xmlns:a16="http://schemas.microsoft.com/office/drawing/2014/main" id="{00000000-0008-0000-0700-0000D2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299" name="Picture 26">
          <a:extLst>
            <a:ext uri="{FF2B5EF4-FFF2-40B4-BE49-F238E27FC236}">
              <a16:creationId xmlns:a16="http://schemas.microsoft.com/office/drawing/2014/main" id="{00000000-0008-0000-0700-0000D3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0" name="Picture 4">
          <a:extLst>
            <a:ext uri="{FF2B5EF4-FFF2-40B4-BE49-F238E27FC236}">
              <a16:creationId xmlns:a16="http://schemas.microsoft.com/office/drawing/2014/main" id="{00000000-0008-0000-0700-0000D4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1" name="Picture 5">
          <a:extLst>
            <a:ext uri="{FF2B5EF4-FFF2-40B4-BE49-F238E27FC236}">
              <a16:creationId xmlns:a16="http://schemas.microsoft.com/office/drawing/2014/main" id="{00000000-0008-0000-0700-0000D5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2" name="Picture 25">
          <a:extLst>
            <a:ext uri="{FF2B5EF4-FFF2-40B4-BE49-F238E27FC236}">
              <a16:creationId xmlns:a16="http://schemas.microsoft.com/office/drawing/2014/main" id="{00000000-0008-0000-0700-0000D6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3" name="Picture 26">
          <a:extLst>
            <a:ext uri="{FF2B5EF4-FFF2-40B4-BE49-F238E27FC236}">
              <a16:creationId xmlns:a16="http://schemas.microsoft.com/office/drawing/2014/main" id="{00000000-0008-0000-0700-0000D7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4" name="Picture 4">
          <a:extLst>
            <a:ext uri="{FF2B5EF4-FFF2-40B4-BE49-F238E27FC236}">
              <a16:creationId xmlns:a16="http://schemas.microsoft.com/office/drawing/2014/main" id="{00000000-0008-0000-0700-0000D8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5" name="Picture 5">
          <a:extLst>
            <a:ext uri="{FF2B5EF4-FFF2-40B4-BE49-F238E27FC236}">
              <a16:creationId xmlns:a16="http://schemas.microsoft.com/office/drawing/2014/main" id="{00000000-0008-0000-0700-0000D9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6" name="Picture 25">
          <a:extLst>
            <a:ext uri="{FF2B5EF4-FFF2-40B4-BE49-F238E27FC236}">
              <a16:creationId xmlns:a16="http://schemas.microsoft.com/office/drawing/2014/main" id="{00000000-0008-0000-0700-0000DA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7" name="Picture 26">
          <a:extLst>
            <a:ext uri="{FF2B5EF4-FFF2-40B4-BE49-F238E27FC236}">
              <a16:creationId xmlns:a16="http://schemas.microsoft.com/office/drawing/2014/main" id="{00000000-0008-0000-0700-0000DB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8" name="Picture 4">
          <a:extLst>
            <a:ext uri="{FF2B5EF4-FFF2-40B4-BE49-F238E27FC236}">
              <a16:creationId xmlns:a16="http://schemas.microsoft.com/office/drawing/2014/main" id="{00000000-0008-0000-0700-0000DC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09" name="Picture 5">
          <a:extLst>
            <a:ext uri="{FF2B5EF4-FFF2-40B4-BE49-F238E27FC236}">
              <a16:creationId xmlns:a16="http://schemas.microsoft.com/office/drawing/2014/main" id="{00000000-0008-0000-0700-0000DD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10" name="Picture 25">
          <a:extLst>
            <a:ext uri="{FF2B5EF4-FFF2-40B4-BE49-F238E27FC236}">
              <a16:creationId xmlns:a16="http://schemas.microsoft.com/office/drawing/2014/main" id="{00000000-0008-0000-0700-0000DE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11" name="Picture 26">
          <a:extLst>
            <a:ext uri="{FF2B5EF4-FFF2-40B4-BE49-F238E27FC236}">
              <a16:creationId xmlns:a16="http://schemas.microsoft.com/office/drawing/2014/main" id="{00000000-0008-0000-0700-0000DF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12" name="Picture 4">
          <a:extLst>
            <a:ext uri="{FF2B5EF4-FFF2-40B4-BE49-F238E27FC236}">
              <a16:creationId xmlns:a16="http://schemas.microsoft.com/office/drawing/2014/main" id="{00000000-0008-0000-0700-0000E0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13" name="Picture 5">
          <a:extLst>
            <a:ext uri="{FF2B5EF4-FFF2-40B4-BE49-F238E27FC236}">
              <a16:creationId xmlns:a16="http://schemas.microsoft.com/office/drawing/2014/main" id="{00000000-0008-0000-0700-0000E1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14" name="Picture 25">
          <a:extLst>
            <a:ext uri="{FF2B5EF4-FFF2-40B4-BE49-F238E27FC236}">
              <a16:creationId xmlns:a16="http://schemas.microsoft.com/office/drawing/2014/main" id="{00000000-0008-0000-0700-0000E2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15" name="Picture 26">
          <a:extLst>
            <a:ext uri="{FF2B5EF4-FFF2-40B4-BE49-F238E27FC236}">
              <a16:creationId xmlns:a16="http://schemas.microsoft.com/office/drawing/2014/main" id="{00000000-0008-0000-0700-0000E3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631190</xdr:colOff>
      <xdr:row>5</xdr:row>
      <xdr:rowOff>192405</xdr:rowOff>
    </xdr:to>
    <xdr:sp macro="[0]!_xlnm.ww6" textlink="">
      <xdr:nvSpPr>
        <xdr:cNvPr id="2" name="矩形 4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561320" y="1298575"/>
          <a:ext cx="2002790" cy="430530"/>
        </a:xfrm>
        <a:prstGeom prst="rect">
          <a:avLst/>
        </a:prstGeom>
        <a:ln w="28575">
          <a:prstDash val="solid"/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/>
            <a:t>导入电子收费单</a:t>
          </a:r>
          <a:r>
            <a:rPr lang="en-US" altLang="zh-CN" sz="1800" b="1"/>
            <a:t>6</a:t>
          </a:r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17" name="Picture 15">
          <a:extLst>
            <a:ext uri="{FF2B5EF4-FFF2-40B4-BE49-F238E27FC236}">
              <a16:creationId xmlns:a16="http://schemas.microsoft.com/office/drawing/2014/main" id="{00000000-0008-0000-0700-0000E5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18" name="Picture 16">
          <a:extLst>
            <a:ext uri="{FF2B5EF4-FFF2-40B4-BE49-F238E27FC236}">
              <a16:creationId xmlns:a16="http://schemas.microsoft.com/office/drawing/2014/main" id="{00000000-0008-0000-0700-0000E6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19" name="Picture 36">
          <a:extLst>
            <a:ext uri="{FF2B5EF4-FFF2-40B4-BE49-F238E27FC236}">
              <a16:creationId xmlns:a16="http://schemas.microsoft.com/office/drawing/2014/main" id="{00000000-0008-0000-0700-0000E7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20" name="Picture 37">
          <a:extLst>
            <a:ext uri="{FF2B5EF4-FFF2-40B4-BE49-F238E27FC236}">
              <a16:creationId xmlns:a16="http://schemas.microsoft.com/office/drawing/2014/main" id="{00000000-0008-0000-0700-0000E8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1" name="Picture 4">
          <a:extLst>
            <a:ext uri="{FF2B5EF4-FFF2-40B4-BE49-F238E27FC236}">
              <a16:creationId xmlns:a16="http://schemas.microsoft.com/office/drawing/2014/main" id="{00000000-0008-0000-0700-0000E9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2" name="Picture 5">
          <a:extLst>
            <a:ext uri="{FF2B5EF4-FFF2-40B4-BE49-F238E27FC236}">
              <a16:creationId xmlns:a16="http://schemas.microsoft.com/office/drawing/2014/main" id="{00000000-0008-0000-0700-0000EA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3" name="Picture 25">
          <a:extLst>
            <a:ext uri="{FF2B5EF4-FFF2-40B4-BE49-F238E27FC236}">
              <a16:creationId xmlns:a16="http://schemas.microsoft.com/office/drawing/2014/main" id="{00000000-0008-0000-0700-0000EB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4" name="Picture 26">
          <a:extLst>
            <a:ext uri="{FF2B5EF4-FFF2-40B4-BE49-F238E27FC236}">
              <a16:creationId xmlns:a16="http://schemas.microsoft.com/office/drawing/2014/main" id="{00000000-0008-0000-0700-0000EC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5" name="Picture 4">
          <a:extLst>
            <a:ext uri="{FF2B5EF4-FFF2-40B4-BE49-F238E27FC236}">
              <a16:creationId xmlns:a16="http://schemas.microsoft.com/office/drawing/2014/main" id="{00000000-0008-0000-0700-0000ED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6" name="Picture 5">
          <a:extLst>
            <a:ext uri="{FF2B5EF4-FFF2-40B4-BE49-F238E27FC236}">
              <a16:creationId xmlns:a16="http://schemas.microsoft.com/office/drawing/2014/main" id="{00000000-0008-0000-0700-0000EE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7" name="Picture 25">
          <a:extLst>
            <a:ext uri="{FF2B5EF4-FFF2-40B4-BE49-F238E27FC236}">
              <a16:creationId xmlns:a16="http://schemas.microsoft.com/office/drawing/2014/main" id="{00000000-0008-0000-0700-0000EF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8" name="Picture 26">
          <a:extLst>
            <a:ext uri="{FF2B5EF4-FFF2-40B4-BE49-F238E27FC236}">
              <a16:creationId xmlns:a16="http://schemas.microsoft.com/office/drawing/2014/main" id="{00000000-0008-0000-0700-0000F0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29" name="Picture 4">
          <a:extLst>
            <a:ext uri="{FF2B5EF4-FFF2-40B4-BE49-F238E27FC236}">
              <a16:creationId xmlns:a16="http://schemas.microsoft.com/office/drawing/2014/main" id="{00000000-0008-0000-0700-0000F1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0" name="Picture 5">
          <a:extLst>
            <a:ext uri="{FF2B5EF4-FFF2-40B4-BE49-F238E27FC236}">
              <a16:creationId xmlns:a16="http://schemas.microsoft.com/office/drawing/2014/main" id="{00000000-0008-0000-0700-0000F2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1" name="Picture 25">
          <a:extLst>
            <a:ext uri="{FF2B5EF4-FFF2-40B4-BE49-F238E27FC236}">
              <a16:creationId xmlns:a16="http://schemas.microsoft.com/office/drawing/2014/main" id="{00000000-0008-0000-0700-0000F3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2" name="Picture 26">
          <a:extLst>
            <a:ext uri="{FF2B5EF4-FFF2-40B4-BE49-F238E27FC236}">
              <a16:creationId xmlns:a16="http://schemas.microsoft.com/office/drawing/2014/main" id="{00000000-0008-0000-0700-0000F4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3" name="Picture 4">
          <a:extLst>
            <a:ext uri="{FF2B5EF4-FFF2-40B4-BE49-F238E27FC236}">
              <a16:creationId xmlns:a16="http://schemas.microsoft.com/office/drawing/2014/main" id="{00000000-0008-0000-0700-0000F5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4" name="Picture 5">
          <a:extLst>
            <a:ext uri="{FF2B5EF4-FFF2-40B4-BE49-F238E27FC236}">
              <a16:creationId xmlns:a16="http://schemas.microsoft.com/office/drawing/2014/main" id="{00000000-0008-0000-0700-0000F6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5" name="Picture 25">
          <a:extLst>
            <a:ext uri="{FF2B5EF4-FFF2-40B4-BE49-F238E27FC236}">
              <a16:creationId xmlns:a16="http://schemas.microsoft.com/office/drawing/2014/main" id="{00000000-0008-0000-0700-0000F7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6" name="Picture 26">
          <a:extLst>
            <a:ext uri="{FF2B5EF4-FFF2-40B4-BE49-F238E27FC236}">
              <a16:creationId xmlns:a16="http://schemas.microsoft.com/office/drawing/2014/main" id="{00000000-0008-0000-0700-0000F8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7" name="Picture 4">
          <a:extLst>
            <a:ext uri="{FF2B5EF4-FFF2-40B4-BE49-F238E27FC236}">
              <a16:creationId xmlns:a16="http://schemas.microsoft.com/office/drawing/2014/main" id="{00000000-0008-0000-0700-0000F9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8" name="Picture 5">
          <a:extLst>
            <a:ext uri="{FF2B5EF4-FFF2-40B4-BE49-F238E27FC236}">
              <a16:creationId xmlns:a16="http://schemas.microsoft.com/office/drawing/2014/main" id="{00000000-0008-0000-0700-0000FA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39" name="Picture 25">
          <a:extLst>
            <a:ext uri="{FF2B5EF4-FFF2-40B4-BE49-F238E27FC236}">
              <a16:creationId xmlns:a16="http://schemas.microsoft.com/office/drawing/2014/main" id="{00000000-0008-0000-0700-0000FB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0" name="Picture 26">
          <a:extLst>
            <a:ext uri="{FF2B5EF4-FFF2-40B4-BE49-F238E27FC236}">
              <a16:creationId xmlns:a16="http://schemas.microsoft.com/office/drawing/2014/main" id="{00000000-0008-0000-0700-0000FC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1" name="Picture 4">
          <a:extLst>
            <a:ext uri="{FF2B5EF4-FFF2-40B4-BE49-F238E27FC236}">
              <a16:creationId xmlns:a16="http://schemas.microsoft.com/office/drawing/2014/main" id="{00000000-0008-0000-0700-0000FD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2" name="Picture 5">
          <a:extLst>
            <a:ext uri="{FF2B5EF4-FFF2-40B4-BE49-F238E27FC236}">
              <a16:creationId xmlns:a16="http://schemas.microsoft.com/office/drawing/2014/main" id="{00000000-0008-0000-0700-0000FE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3" name="Picture 25">
          <a:extLst>
            <a:ext uri="{FF2B5EF4-FFF2-40B4-BE49-F238E27FC236}">
              <a16:creationId xmlns:a16="http://schemas.microsoft.com/office/drawing/2014/main" id="{00000000-0008-0000-0700-0000FF26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4" name="Picture 26">
          <a:extLst>
            <a:ext uri="{FF2B5EF4-FFF2-40B4-BE49-F238E27FC236}">
              <a16:creationId xmlns:a16="http://schemas.microsoft.com/office/drawing/2014/main" id="{00000000-0008-0000-0700-000000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5" name="Picture 4">
          <a:extLst>
            <a:ext uri="{FF2B5EF4-FFF2-40B4-BE49-F238E27FC236}">
              <a16:creationId xmlns:a16="http://schemas.microsoft.com/office/drawing/2014/main" id="{00000000-0008-0000-0700-000001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6" name="Picture 5">
          <a:extLst>
            <a:ext uri="{FF2B5EF4-FFF2-40B4-BE49-F238E27FC236}">
              <a16:creationId xmlns:a16="http://schemas.microsoft.com/office/drawing/2014/main" id="{00000000-0008-0000-0700-000002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7" name="Picture 25">
          <a:extLst>
            <a:ext uri="{FF2B5EF4-FFF2-40B4-BE49-F238E27FC236}">
              <a16:creationId xmlns:a16="http://schemas.microsoft.com/office/drawing/2014/main" id="{00000000-0008-0000-0700-000003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8" name="Picture 26">
          <a:extLst>
            <a:ext uri="{FF2B5EF4-FFF2-40B4-BE49-F238E27FC236}">
              <a16:creationId xmlns:a16="http://schemas.microsoft.com/office/drawing/2014/main" id="{00000000-0008-0000-0700-000004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49" name="Picture 4">
          <a:extLst>
            <a:ext uri="{FF2B5EF4-FFF2-40B4-BE49-F238E27FC236}">
              <a16:creationId xmlns:a16="http://schemas.microsoft.com/office/drawing/2014/main" id="{00000000-0008-0000-0700-000005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0" name="Picture 5">
          <a:extLst>
            <a:ext uri="{FF2B5EF4-FFF2-40B4-BE49-F238E27FC236}">
              <a16:creationId xmlns:a16="http://schemas.microsoft.com/office/drawing/2014/main" id="{00000000-0008-0000-0700-000006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1" name="Picture 25">
          <a:extLst>
            <a:ext uri="{FF2B5EF4-FFF2-40B4-BE49-F238E27FC236}">
              <a16:creationId xmlns:a16="http://schemas.microsoft.com/office/drawing/2014/main" id="{00000000-0008-0000-0700-000007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2" name="Picture 26">
          <a:extLst>
            <a:ext uri="{FF2B5EF4-FFF2-40B4-BE49-F238E27FC236}">
              <a16:creationId xmlns:a16="http://schemas.microsoft.com/office/drawing/2014/main" id="{00000000-0008-0000-0700-000008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3" name="Picture 4">
          <a:extLst>
            <a:ext uri="{FF2B5EF4-FFF2-40B4-BE49-F238E27FC236}">
              <a16:creationId xmlns:a16="http://schemas.microsoft.com/office/drawing/2014/main" id="{00000000-0008-0000-0700-000009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4" name="Picture 5">
          <a:extLst>
            <a:ext uri="{FF2B5EF4-FFF2-40B4-BE49-F238E27FC236}">
              <a16:creationId xmlns:a16="http://schemas.microsoft.com/office/drawing/2014/main" id="{00000000-0008-0000-0700-00000A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5" name="Picture 25">
          <a:extLst>
            <a:ext uri="{FF2B5EF4-FFF2-40B4-BE49-F238E27FC236}">
              <a16:creationId xmlns:a16="http://schemas.microsoft.com/office/drawing/2014/main" id="{00000000-0008-0000-0700-00000B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6" name="Picture 26">
          <a:extLst>
            <a:ext uri="{FF2B5EF4-FFF2-40B4-BE49-F238E27FC236}">
              <a16:creationId xmlns:a16="http://schemas.microsoft.com/office/drawing/2014/main" id="{00000000-0008-0000-0700-00000C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7" name="Picture 4">
          <a:extLst>
            <a:ext uri="{FF2B5EF4-FFF2-40B4-BE49-F238E27FC236}">
              <a16:creationId xmlns:a16="http://schemas.microsoft.com/office/drawing/2014/main" id="{00000000-0008-0000-0700-00000D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8" name="Picture 5">
          <a:extLst>
            <a:ext uri="{FF2B5EF4-FFF2-40B4-BE49-F238E27FC236}">
              <a16:creationId xmlns:a16="http://schemas.microsoft.com/office/drawing/2014/main" id="{00000000-0008-0000-0700-00000E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59" name="Picture 25">
          <a:extLst>
            <a:ext uri="{FF2B5EF4-FFF2-40B4-BE49-F238E27FC236}">
              <a16:creationId xmlns:a16="http://schemas.microsoft.com/office/drawing/2014/main" id="{00000000-0008-0000-0700-00000F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60" name="Picture 26">
          <a:extLst>
            <a:ext uri="{FF2B5EF4-FFF2-40B4-BE49-F238E27FC236}">
              <a16:creationId xmlns:a16="http://schemas.microsoft.com/office/drawing/2014/main" id="{00000000-0008-0000-0700-000010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61" name="Picture 15">
          <a:extLst>
            <a:ext uri="{FF2B5EF4-FFF2-40B4-BE49-F238E27FC236}">
              <a16:creationId xmlns:a16="http://schemas.microsoft.com/office/drawing/2014/main" id="{00000000-0008-0000-0700-000011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62" name="Picture 16">
          <a:extLst>
            <a:ext uri="{FF2B5EF4-FFF2-40B4-BE49-F238E27FC236}">
              <a16:creationId xmlns:a16="http://schemas.microsoft.com/office/drawing/2014/main" id="{00000000-0008-0000-0700-000012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63" name="Picture 36">
          <a:extLst>
            <a:ext uri="{FF2B5EF4-FFF2-40B4-BE49-F238E27FC236}">
              <a16:creationId xmlns:a16="http://schemas.microsoft.com/office/drawing/2014/main" id="{00000000-0008-0000-0700-000013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5364" name="Picture 37">
          <a:extLst>
            <a:ext uri="{FF2B5EF4-FFF2-40B4-BE49-F238E27FC236}">
              <a16:creationId xmlns:a16="http://schemas.microsoft.com/office/drawing/2014/main" id="{00000000-0008-0000-0700-000014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65" name="Picture 4">
          <a:extLst>
            <a:ext uri="{FF2B5EF4-FFF2-40B4-BE49-F238E27FC236}">
              <a16:creationId xmlns:a16="http://schemas.microsoft.com/office/drawing/2014/main" id="{00000000-0008-0000-0700-000015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66" name="Picture 5">
          <a:extLst>
            <a:ext uri="{FF2B5EF4-FFF2-40B4-BE49-F238E27FC236}">
              <a16:creationId xmlns:a16="http://schemas.microsoft.com/office/drawing/2014/main" id="{00000000-0008-0000-0700-000016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67" name="Picture 25">
          <a:extLst>
            <a:ext uri="{FF2B5EF4-FFF2-40B4-BE49-F238E27FC236}">
              <a16:creationId xmlns:a16="http://schemas.microsoft.com/office/drawing/2014/main" id="{00000000-0008-0000-0700-000017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68" name="Picture 26">
          <a:extLst>
            <a:ext uri="{FF2B5EF4-FFF2-40B4-BE49-F238E27FC236}">
              <a16:creationId xmlns:a16="http://schemas.microsoft.com/office/drawing/2014/main" id="{00000000-0008-0000-0700-000018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69" name="Picture 4">
          <a:extLst>
            <a:ext uri="{FF2B5EF4-FFF2-40B4-BE49-F238E27FC236}">
              <a16:creationId xmlns:a16="http://schemas.microsoft.com/office/drawing/2014/main" id="{00000000-0008-0000-0700-000019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0" name="Picture 5">
          <a:extLst>
            <a:ext uri="{FF2B5EF4-FFF2-40B4-BE49-F238E27FC236}">
              <a16:creationId xmlns:a16="http://schemas.microsoft.com/office/drawing/2014/main" id="{00000000-0008-0000-0700-00001A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1" name="Picture 25">
          <a:extLst>
            <a:ext uri="{FF2B5EF4-FFF2-40B4-BE49-F238E27FC236}">
              <a16:creationId xmlns:a16="http://schemas.microsoft.com/office/drawing/2014/main" id="{00000000-0008-0000-0700-00001B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2" name="Picture 26">
          <a:extLst>
            <a:ext uri="{FF2B5EF4-FFF2-40B4-BE49-F238E27FC236}">
              <a16:creationId xmlns:a16="http://schemas.microsoft.com/office/drawing/2014/main" id="{00000000-0008-0000-0700-00001C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3" name="Picture 4">
          <a:extLst>
            <a:ext uri="{FF2B5EF4-FFF2-40B4-BE49-F238E27FC236}">
              <a16:creationId xmlns:a16="http://schemas.microsoft.com/office/drawing/2014/main" id="{00000000-0008-0000-0700-00001D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4" name="Picture 5">
          <a:extLst>
            <a:ext uri="{FF2B5EF4-FFF2-40B4-BE49-F238E27FC236}">
              <a16:creationId xmlns:a16="http://schemas.microsoft.com/office/drawing/2014/main" id="{00000000-0008-0000-0700-00001E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5" name="Picture 25">
          <a:extLst>
            <a:ext uri="{FF2B5EF4-FFF2-40B4-BE49-F238E27FC236}">
              <a16:creationId xmlns:a16="http://schemas.microsoft.com/office/drawing/2014/main" id="{00000000-0008-0000-0700-00001F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6" name="Picture 26">
          <a:extLst>
            <a:ext uri="{FF2B5EF4-FFF2-40B4-BE49-F238E27FC236}">
              <a16:creationId xmlns:a16="http://schemas.microsoft.com/office/drawing/2014/main" id="{00000000-0008-0000-0700-000020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7" name="Picture 4">
          <a:extLst>
            <a:ext uri="{FF2B5EF4-FFF2-40B4-BE49-F238E27FC236}">
              <a16:creationId xmlns:a16="http://schemas.microsoft.com/office/drawing/2014/main" id="{00000000-0008-0000-0700-000021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8" name="Picture 5">
          <a:extLst>
            <a:ext uri="{FF2B5EF4-FFF2-40B4-BE49-F238E27FC236}">
              <a16:creationId xmlns:a16="http://schemas.microsoft.com/office/drawing/2014/main" id="{00000000-0008-0000-0700-000022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79" name="Picture 25">
          <a:extLst>
            <a:ext uri="{FF2B5EF4-FFF2-40B4-BE49-F238E27FC236}">
              <a16:creationId xmlns:a16="http://schemas.microsoft.com/office/drawing/2014/main" id="{00000000-0008-0000-0700-000023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0" name="Picture 26">
          <a:extLst>
            <a:ext uri="{FF2B5EF4-FFF2-40B4-BE49-F238E27FC236}">
              <a16:creationId xmlns:a16="http://schemas.microsoft.com/office/drawing/2014/main" id="{00000000-0008-0000-0700-000024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1" name="Picture 4">
          <a:extLst>
            <a:ext uri="{FF2B5EF4-FFF2-40B4-BE49-F238E27FC236}">
              <a16:creationId xmlns:a16="http://schemas.microsoft.com/office/drawing/2014/main" id="{00000000-0008-0000-0700-000025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2" name="Picture 5">
          <a:extLst>
            <a:ext uri="{FF2B5EF4-FFF2-40B4-BE49-F238E27FC236}">
              <a16:creationId xmlns:a16="http://schemas.microsoft.com/office/drawing/2014/main" id="{00000000-0008-0000-0700-000026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3" name="Picture 25">
          <a:extLst>
            <a:ext uri="{FF2B5EF4-FFF2-40B4-BE49-F238E27FC236}">
              <a16:creationId xmlns:a16="http://schemas.microsoft.com/office/drawing/2014/main" id="{00000000-0008-0000-0700-000027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4" name="Picture 26">
          <a:extLst>
            <a:ext uri="{FF2B5EF4-FFF2-40B4-BE49-F238E27FC236}">
              <a16:creationId xmlns:a16="http://schemas.microsoft.com/office/drawing/2014/main" id="{00000000-0008-0000-0700-000028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5" name="Picture 4">
          <a:extLst>
            <a:ext uri="{FF2B5EF4-FFF2-40B4-BE49-F238E27FC236}">
              <a16:creationId xmlns:a16="http://schemas.microsoft.com/office/drawing/2014/main" id="{00000000-0008-0000-0700-000029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6" name="Picture 5">
          <a:extLst>
            <a:ext uri="{FF2B5EF4-FFF2-40B4-BE49-F238E27FC236}">
              <a16:creationId xmlns:a16="http://schemas.microsoft.com/office/drawing/2014/main" id="{00000000-0008-0000-0700-00002A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7" name="Picture 25">
          <a:extLst>
            <a:ext uri="{FF2B5EF4-FFF2-40B4-BE49-F238E27FC236}">
              <a16:creationId xmlns:a16="http://schemas.microsoft.com/office/drawing/2014/main" id="{00000000-0008-0000-0700-00002B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8" name="Picture 26">
          <a:extLst>
            <a:ext uri="{FF2B5EF4-FFF2-40B4-BE49-F238E27FC236}">
              <a16:creationId xmlns:a16="http://schemas.microsoft.com/office/drawing/2014/main" id="{00000000-0008-0000-0700-00002C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89" name="Picture 4">
          <a:extLst>
            <a:ext uri="{FF2B5EF4-FFF2-40B4-BE49-F238E27FC236}">
              <a16:creationId xmlns:a16="http://schemas.microsoft.com/office/drawing/2014/main" id="{00000000-0008-0000-0700-00002D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0" name="Picture 5">
          <a:extLst>
            <a:ext uri="{FF2B5EF4-FFF2-40B4-BE49-F238E27FC236}">
              <a16:creationId xmlns:a16="http://schemas.microsoft.com/office/drawing/2014/main" id="{00000000-0008-0000-0700-00002E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1" name="Picture 25">
          <a:extLst>
            <a:ext uri="{FF2B5EF4-FFF2-40B4-BE49-F238E27FC236}">
              <a16:creationId xmlns:a16="http://schemas.microsoft.com/office/drawing/2014/main" id="{00000000-0008-0000-0700-00002F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2" name="Picture 26">
          <a:extLst>
            <a:ext uri="{FF2B5EF4-FFF2-40B4-BE49-F238E27FC236}">
              <a16:creationId xmlns:a16="http://schemas.microsoft.com/office/drawing/2014/main" id="{00000000-0008-0000-0700-000030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3" name="Picture 4">
          <a:extLst>
            <a:ext uri="{FF2B5EF4-FFF2-40B4-BE49-F238E27FC236}">
              <a16:creationId xmlns:a16="http://schemas.microsoft.com/office/drawing/2014/main" id="{00000000-0008-0000-0700-000031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4" name="Picture 5">
          <a:extLst>
            <a:ext uri="{FF2B5EF4-FFF2-40B4-BE49-F238E27FC236}">
              <a16:creationId xmlns:a16="http://schemas.microsoft.com/office/drawing/2014/main" id="{00000000-0008-0000-0700-000032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5" name="Picture 25">
          <a:extLst>
            <a:ext uri="{FF2B5EF4-FFF2-40B4-BE49-F238E27FC236}">
              <a16:creationId xmlns:a16="http://schemas.microsoft.com/office/drawing/2014/main" id="{00000000-0008-0000-0700-000033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6" name="Picture 26">
          <a:extLst>
            <a:ext uri="{FF2B5EF4-FFF2-40B4-BE49-F238E27FC236}">
              <a16:creationId xmlns:a16="http://schemas.microsoft.com/office/drawing/2014/main" id="{00000000-0008-0000-0700-000034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7" name="Picture 4">
          <a:extLst>
            <a:ext uri="{FF2B5EF4-FFF2-40B4-BE49-F238E27FC236}">
              <a16:creationId xmlns:a16="http://schemas.microsoft.com/office/drawing/2014/main" id="{00000000-0008-0000-0700-000035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8" name="Picture 5">
          <a:extLst>
            <a:ext uri="{FF2B5EF4-FFF2-40B4-BE49-F238E27FC236}">
              <a16:creationId xmlns:a16="http://schemas.microsoft.com/office/drawing/2014/main" id="{00000000-0008-0000-0700-000036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399" name="Picture 25">
          <a:extLst>
            <a:ext uri="{FF2B5EF4-FFF2-40B4-BE49-F238E27FC236}">
              <a16:creationId xmlns:a16="http://schemas.microsoft.com/office/drawing/2014/main" id="{00000000-0008-0000-0700-000037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400" name="Picture 26">
          <a:extLst>
            <a:ext uri="{FF2B5EF4-FFF2-40B4-BE49-F238E27FC236}">
              <a16:creationId xmlns:a16="http://schemas.microsoft.com/office/drawing/2014/main" id="{00000000-0008-0000-0700-000038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401" name="Picture 4">
          <a:extLst>
            <a:ext uri="{FF2B5EF4-FFF2-40B4-BE49-F238E27FC236}">
              <a16:creationId xmlns:a16="http://schemas.microsoft.com/office/drawing/2014/main" id="{00000000-0008-0000-0700-000039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402" name="Picture 5">
          <a:extLst>
            <a:ext uri="{FF2B5EF4-FFF2-40B4-BE49-F238E27FC236}">
              <a16:creationId xmlns:a16="http://schemas.microsoft.com/office/drawing/2014/main" id="{00000000-0008-0000-0700-00003A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403" name="Picture 25">
          <a:extLst>
            <a:ext uri="{FF2B5EF4-FFF2-40B4-BE49-F238E27FC236}">
              <a16:creationId xmlns:a16="http://schemas.microsoft.com/office/drawing/2014/main" id="{00000000-0008-0000-0700-00003B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82</xdr:row>
      <xdr:rowOff>0</xdr:rowOff>
    </xdr:from>
    <xdr:to>
      <xdr:col>2</xdr:col>
      <xdr:colOff>9525</xdr:colOff>
      <xdr:row>82</xdr:row>
      <xdr:rowOff>9525</xdr:rowOff>
    </xdr:to>
    <xdr:pic>
      <xdr:nvPicPr>
        <xdr:cNvPr id="665404" name="Picture 26">
          <a:extLst>
            <a:ext uri="{FF2B5EF4-FFF2-40B4-BE49-F238E27FC236}">
              <a16:creationId xmlns:a16="http://schemas.microsoft.com/office/drawing/2014/main" id="{00000000-0008-0000-0700-00003C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4319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48260</xdr:colOff>
      <xdr:row>0</xdr:row>
      <xdr:rowOff>29210</xdr:rowOff>
    </xdr:from>
    <xdr:to>
      <xdr:col>4</xdr:col>
      <xdr:colOff>575310</xdr:colOff>
      <xdr:row>0</xdr:row>
      <xdr:rowOff>354330</xdr:rowOff>
    </xdr:to>
    <xdr:pic>
      <xdr:nvPicPr>
        <xdr:cNvPr id="665405" name="图片 2" descr="45e5daac9cce0f865117669d52f4173">
          <a:extLst>
            <a:ext uri="{FF2B5EF4-FFF2-40B4-BE49-F238E27FC236}">
              <a16:creationId xmlns:a16="http://schemas.microsoft.com/office/drawing/2014/main" id="{00000000-0008-0000-0700-00003D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60" y="2921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20320</xdr:colOff>
      <xdr:row>35</xdr:row>
      <xdr:rowOff>29210</xdr:rowOff>
    </xdr:from>
    <xdr:to>
      <xdr:col>4</xdr:col>
      <xdr:colOff>547370</xdr:colOff>
      <xdr:row>35</xdr:row>
      <xdr:rowOff>354330</xdr:rowOff>
    </xdr:to>
    <xdr:pic>
      <xdr:nvPicPr>
        <xdr:cNvPr id="665406" name="图片 3" descr="45e5daac9cce0f865117669d52f4173">
          <a:extLst>
            <a:ext uri="{FF2B5EF4-FFF2-40B4-BE49-F238E27FC236}">
              <a16:creationId xmlns:a16="http://schemas.microsoft.com/office/drawing/2014/main" id="{00000000-0008-0000-0700-00003E27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20" y="994410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819" name="Picture 15">
          <a:extLst>
            <a:ext uri="{FF2B5EF4-FFF2-40B4-BE49-F238E27FC236}">
              <a16:creationId xmlns:a16="http://schemas.microsoft.com/office/drawing/2014/main" id="{00000000-0008-0000-0800-00007B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820" name="Picture 16">
          <a:extLst>
            <a:ext uri="{FF2B5EF4-FFF2-40B4-BE49-F238E27FC236}">
              <a16:creationId xmlns:a16="http://schemas.microsoft.com/office/drawing/2014/main" id="{00000000-0008-0000-0800-00007C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821" name="Picture 36">
          <a:extLst>
            <a:ext uri="{FF2B5EF4-FFF2-40B4-BE49-F238E27FC236}">
              <a16:creationId xmlns:a16="http://schemas.microsoft.com/office/drawing/2014/main" id="{00000000-0008-0000-0800-00007D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35</xdr:row>
      <xdr:rowOff>0</xdr:rowOff>
    </xdr:from>
    <xdr:to>
      <xdr:col>2</xdr:col>
      <xdr:colOff>9525</xdr:colOff>
      <xdr:row>35</xdr:row>
      <xdr:rowOff>10160</xdr:rowOff>
    </xdr:to>
    <xdr:pic>
      <xdr:nvPicPr>
        <xdr:cNvPr id="669822" name="Picture 37">
          <a:extLst>
            <a:ext uri="{FF2B5EF4-FFF2-40B4-BE49-F238E27FC236}">
              <a16:creationId xmlns:a16="http://schemas.microsoft.com/office/drawing/2014/main" id="{00000000-0008-0000-0800-00007E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9914890"/>
          <a:ext cx="9525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23" name="Picture 4">
          <a:extLst>
            <a:ext uri="{FF2B5EF4-FFF2-40B4-BE49-F238E27FC236}">
              <a16:creationId xmlns:a16="http://schemas.microsoft.com/office/drawing/2014/main" id="{00000000-0008-0000-0800-00007F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24" name="Picture 5">
          <a:extLst>
            <a:ext uri="{FF2B5EF4-FFF2-40B4-BE49-F238E27FC236}">
              <a16:creationId xmlns:a16="http://schemas.microsoft.com/office/drawing/2014/main" id="{00000000-0008-0000-0800-000080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25" name="Picture 25">
          <a:extLst>
            <a:ext uri="{FF2B5EF4-FFF2-40B4-BE49-F238E27FC236}">
              <a16:creationId xmlns:a16="http://schemas.microsoft.com/office/drawing/2014/main" id="{00000000-0008-0000-0800-000081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26" name="Picture 26">
          <a:extLst>
            <a:ext uri="{FF2B5EF4-FFF2-40B4-BE49-F238E27FC236}">
              <a16:creationId xmlns:a16="http://schemas.microsoft.com/office/drawing/2014/main" id="{00000000-0008-0000-0800-000082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27" name="Picture 4">
          <a:extLst>
            <a:ext uri="{FF2B5EF4-FFF2-40B4-BE49-F238E27FC236}">
              <a16:creationId xmlns:a16="http://schemas.microsoft.com/office/drawing/2014/main" id="{00000000-0008-0000-0800-000083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28" name="Picture 5">
          <a:extLst>
            <a:ext uri="{FF2B5EF4-FFF2-40B4-BE49-F238E27FC236}">
              <a16:creationId xmlns:a16="http://schemas.microsoft.com/office/drawing/2014/main" id="{00000000-0008-0000-0800-000084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29" name="Picture 25">
          <a:extLst>
            <a:ext uri="{FF2B5EF4-FFF2-40B4-BE49-F238E27FC236}">
              <a16:creationId xmlns:a16="http://schemas.microsoft.com/office/drawing/2014/main" id="{00000000-0008-0000-0800-000085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0" name="Picture 26">
          <a:extLst>
            <a:ext uri="{FF2B5EF4-FFF2-40B4-BE49-F238E27FC236}">
              <a16:creationId xmlns:a16="http://schemas.microsoft.com/office/drawing/2014/main" id="{00000000-0008-0000-0800-000086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1" name="Picture 4">
          <a:extLst>
            <a:ext uri="{FF2B5EF4-FFF2-40B4-BE49-F238E27FC236}">
              <a16:creationId xmlns:a16="http://schemas.microsoft.com/office/drawing/2014/main" id="{00000000-0008-0000-0800-000087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2" name="Picture 5">
          <a:extLst>
            <a:ext uri="{FF2B5EF4-FFF2-40B4-BE49-F238E27FC236}">
              <a16:creationId xmlns:a16="http://schemas.microsoft.com/office/drawing/2014/main" id="{00000000-0008-0000-0800-000088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3" name="Picture 25">
          <a:extLst>
            <a:ext uri="{FF2B5EF4-FFF2-40B4-BE49-F238E27FC236}">
              <a16:creationId xmlns:a16="http://schemas.microsoft.com/office/drawing/2014/main" id="{00000000-0008-0000-0800-000089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4" name="Picture 26">
          <a:extLst>
            <a:ext uri="{FF2B5EF4-FFF2-40B4-BE49-F238E27FC236}">
              <a16:creationId xmlns:a16="http://schemas.microsoft.com/office/drawing/2014/main" id="{00000000-0008-0000-0800-00008A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5" name="Picture 4">
          <a:extLst>
            <a:ext uri="{FF2B5EF4-FFF2-40B4-BE49-F238E27FC236}">
              <a16:creationId xmlns:a16="http://schemas.microsoft.com/office/drawing/2014/main" id="{00000000-0008-0000-0800-00008B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6" name="Picture 5">
          <a:extLst>
            <a:ext uri="{FF2B5EF4-FFF2-40B4-BE49-F238E27FC236}">
              <a16:creationId xmlns:a16="http://schemas.microsoft.com/office/drawing/2014/main" id="{00000000-0008-0000-0800-00008C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7" name="Picture 25">
          <a:extLst>
            <a:ext uri="{FF2B5EF4-FFF2-40B4-BE49-F238E27FC236}">
              <a16:creationId xmlns:a16="http://schemas.microsoft.com/office/drawing/2014/main" id="{00000000-0008-0000-0800-00008D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8" name="Picture 26">
          <a:extLst>
            <a:ext uri="{FF2B5EF4-FFF2-40B4-BE49-F238E27FC236}">
              <a16:creationId xmlns:a16="http://schemas.microsoft.com/office/drawing/2014/main" id="{00000000-0008-0000-0800-00008E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39" name="Picture 4">
          <a:extLst>
            <a:ext uri="{FF2B5EF4-FFF2-40B4-BE49-F238E27FC236}">
              <a16:creationId xmlns:a16="http://schemas.microsoft.com/office/drawing/2014/main" id="{00000000-0008-0000-0800-00008F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0" name="Picture 5">
          <a:extLst>
            <a:ext uri="{FF2B5EF4-FFF2-40B4-BE49-F238E27FC236}">
              <a16:creationId xmlns:a16="http://schemas.microsoft.com/office/drawing/2014/main" id="{00000000-0008-0000-0800-000090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1" name="Picture 25">
          <a:extLst>
            <a:ext uri="{FF2B5EF4-FFF2-40B4-BE49-F238E27FC236}">
              <a16:creationId xmlns:a16="http://schemas.microsoft.com/office/drawing/2014/main" id="{00000000-0008-0000-0800-000091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2" name="Picture 26">
          <a:extLst>
            <a:ext uri="{FF2B5EF4-FFF2-40B4-BE49-F238E27FC236}">
              <a16:creationId xmlns:a16="http://schemas.microsoft.com/office/drawing/2014/main" id="{00000000-0008-0000-0800-000092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3" name="Picture 4">
          <a:extLst>
            <a:ext uri="{FF2B5EF4-FFF2-40B4-BE49-F238E27FC236}">
              <a16:creationId xmlns:a16="http://schemas.microsoft.com/office/drawing/2014/main" id="{00000000-0008-0000-0800-000093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4" name="Picture 5">
          <a:extLst>
            <a:ext uri="{FF2B5EF4-FFF2-40B4-BE49-F238E27FC236}">
              <a16:creationId xmlns:a16="http://schemas.microsoft.com/office/drawing/2014/main" id="{00000000-0008-0000-0800-000094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5" name="Picture 25">
          <a:extLst>
            <a:ext uri="{FF2B5EF4-FFF2-40B4-BE49-F238E27FC236}">
              <a16:creationId xmlns:a16="http://schemas.microsoft.com/office/drawing/2014/main" id="{00000000-0008-0000-0800-000095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6" name="Picture 26">
          <a:extLst>
            <a:ext uri="{FF2B5EF4-FFF2-40B4-BE49-F238E27FC236}">
              <a16:creationId xmlns:a16="http://schemas.microsoft.com/office/drawing/2014/main" id="{00000000-0008-0000-0800-000096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7" name="Picture 4">
          <a:extLst>
            <a:ext uri="{FF2B5EF4-FFF2-40B4-BE49-F238E27FC236}">
              <a16:creationId xmlns:a16="http://schemas.microsoft.com/office/drawing/2014/main" id="{00000000-0008-0000-0800-000097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8" name="Picture 5">
          <a:extLst>
            <a:ext uri="{FF2B5EF4-FFF2-40B4-BE49-F238E27FC236}">
              <a16:creationId xmlns:a16="http://schemas.microsoft.com/office/drawing/2014/main" id="{00000000-0008-0000-0800-000098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49" name="Picture 25">
          <a:extLst>
            <a:ext uri="{FF2B5EF4-FFF2-40B4-BE49-F238E27FC236}">
              <a16:creationId xmlns:a16="http://schemas.microsoft.com/office/drawing/2014/main" id="{00000000-0008-0000-0800-000099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0" name="Picture 26">
          <a:extLst>
            <a:ext uri="{FF2B5EF4-FFF2-40B4-BE49-F238E27FC236}">
              <a16:creationId xmlns:a16="http://schemas.microsoft.com/office/drawing/2014/main" id="{00000000-0008-0000-0800-00009A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1" name="Picture 4">
          <a:extLst>
            <a:ext uri="{FF2B5EF4-FFF2-40B4-BE49-F238E27FC236}">
              <a16:creationId xmlns:a16="http://schemas.microsoft.com/office/drawing/2014/main" id="{00000000-0008-0000-0800-00009B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2" name="Picture 5">
          <a:extLst>
            <a:ext uri="{FF2B5EF4-FFF2-40B4-BE49-F238E27FC236}">
              <a16:creationId xmlns:a16="http://schemas.microsoft.com/office/drawing/2014/main" id="{00000000-0008-0000-0800-00009C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3" name="Picture 25">
          <a:extLst>
            <a:ext uri="{FF2B5EF4-FFF2-40B4-BE49-F238E27FC236}">
              <a16:creationId xmlns:a16="http://schemas.microsoft.com/office/drawing/2014/main" id="{00000000-0008-0000-0800-00009D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4" name="Picture 26">
          <a:extLst>
            <a:ext uri="{FF2B5EF4-FFF2-40B4-BE49-F238E27FC236}">
              <a16:creationId xmlns:a16="http://schemas.microsoft.com/office/drawing/2014/main" id="{00000000-0008-0000-0800-00009E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5" name="Picture 4">
          <a:extLst>
            <a:ext uri="{FF2B5EF4-FFF2-40B4-BE49-F238E27FC236}">
              <a16:creationId xmlns:a16="http://schemas.microsoft.com/office/drawing/2014/main" id="{00000000-0008-0000-0800-00009F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6" name="Picture 5">
          <a:extLst>
            <a:ext uri="{FF2B5EF4-FFF2-40B4-BE49-F238E27FC236}">
              <a16:creationId xmlns:a16="http://schemas.microsoft.com/office/drawing/2014/main" id="{00000000-0008-0000-0800-0000A0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7" name="Picture 25">
          <a:extLst>
            <a:ext uri="{FF2B5EF4-FFF2-40B4-BE49-F238E27FC236}">
              <a16:creationId xmlns:a16="http://schemas.microsoft.com/office/drawing/2014/main" id="{00000000-0008-0000-0800-0000A1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8" name="Picture 26">
          <a:extLst>
            <a:ext uri="{FF2B5EF4-FFF2-40B4-BE49-F238E27FC236}">
              <a16:creationId xmlns:a16="http://schemas.microsoft.com/office/drawing/2014/main" id="{00000000-0008-0000-0800-0000A2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59" name="Picture 4">
          <a:extLst>
            <a:ext uri="{FF2B5EF4-FFF2-40B4-BE49-F238E27FC236}">
              <a16:creationId xmlns:a16="http://schemas.microsoft.com/office/drawing/2014/main" id="{00000000-0008-0000-0800-0000A3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60" name="Picture 5">
          <a:extLst>
            <a:ext uri="{FF2B5EF4-FFF2-40B4-BE49-F238E27FC236}">
              <a16:creationId xmlns:a16="http://schemas.microsoft.com/office/drawing/2014/main" id="{00000000-0008-0000-0800-0000A4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61" name="Picture 25">
          <a:extLst>
            <a:ext uri="{FF2B5EF4-FFF2-40B4-BE49-F238E27FC236}">
              <a16:creationId xmlns:a16="http://schemas.microsoft.com/office/drawing/2014/main" id="{00000000-0008-0000-0800-0000A5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0</xdr:colOff>
      <xdr:row>102</xdr:row>
      <xdr:rowOff>0</xdr:rowOff>
    </xdr:from>
    <xdr:to>
      <xdr:col>2</xdr:col>
      <xdr:colOff>9525</xdr:colOff>
      <xdr:row>102</xdr:row>
      <xdr:rowOff>9525</xdr:rowOff>
    </xdr:to>
    <xdr:pic>
      <xdr:nvPicPr>
        <xdr:cNvPr id="669862" name="Picture 26">
          <a:extLst>
            <a:ext uri="{FF2B5EF4-FFF2-40B4-BE49-F238E27FC236}">
              <a16:creationId xmlns:a16="http://schemas.microsoft.com/office/drawing/2014/main" id="{00000000-0008-0000-0800-0000A6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0415865"/>
          <a:ext cx="9525" cy="9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14</xdr:col>
      <xdr:colOff>9525</xdr:colOff>
      <xdr:row>3</xdr:row>
      <xdr:rowOff>371475</xdr:rowOff>
    </xdr:from>
    <xdr:to>
      <xdr:col>16</xdr:col>
      <xdr:colOff>450850</xdr:colOff>
      <xdr:row>5</xdr:row>
      <xdr:rowOff>182880</xdr:rowOff>
    </xdr:to>
    <xdr:sp macro="[0]!ww汇总" textlink="">
      <xdr:nvSpPr>
        <xdr:cNvPr id="2" name="矩形 4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637520" y="1289050"/>
          <a:ext cx="1812925" cy="430530"/>
        </a:xfrm>
        <a:prstGeom prst="rect">
          <a:avLst/>
        </a:prstGeom>
        <a:ln w="28575">
          <a:prstDash val="solid"/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/>
            <a:t>导入电子收费单</a:t>
          </a:r>
        </a:p>
      </xdr:txBody>
    </xdr:sp>
    <xdr:clientData/>
  </xdr:twoCellAnchor>
  <xdr:twoCellAnchor editAs="oneCell">
    <xdr:from>
      <xdr:col>0</xdr:col>
      <xdr:colOff>38100</xdr:colOff>
      <xdr:row>0</xdr:row>
      <xdr:rowOff>29210</xdr:rowOff>
    </xdr:from>
    <xdr:to>
      <xdr:col>4</xdr:col>
      <xdr:colOff>565150</xdr:colOff>
      <xdr:row>0</xdr:row>
      <xdr:rowOff>354330</xdr:rowOff>
    </xdr:to>
    <xdr:pic>
      <xdr:nvPicPr>
        <xdr:cNvPr id="669864" name="图片 4" descr="45e5daac9cce0f865117669d52f4173">
          <a:extLst>
            <a:ext uri="{FF2B5EF4-FFF2-40B4-BE49-F238E27FC236}">
              <a16:creationId xmlns:a16="http://schemas.microsoft.com/office/drawing/2014/main" id="{00000000-0008-0000-0800-0000A8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921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31115</xdr:colOff>
      <xdr:row>35</xdr:row>
      <xdr:rowOff>29210</xdr:rowOff>
    </xdr:from>
    <xdr:to>
      <xdr:col>4</xdr:col>
      <xdr:colOff>558165</xdr:colOff>
      <xdr:row>35</xdr:row>
      <xdr:rowOff>354330</xdr:rowOff>
    </xdr:to>
    <xdr:pic>
      <xdr:nvPicPr>
        <xdr:cNvPr id="669865" name="图片 5" descr="45e5daac9cce0f865117669d52f4173">
          <a:extLst>
            <a:ext uri="{FF2B5EF4-FFF2-40B4-BE49-F238E27FC236}">
              <a16:creationId xmlns:a16="http://schemas.microsoft.com/office/drawing/2014/main" id="{00000000-0008-0000-0800-0000A938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115" y="9944100"/>
          <a:ext cx="2874010" cy="3251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1097915</xdr:colOff>
      <xdr:row>0</xdr:row>
      <xdr:rowOff>60960</xdr:rowOff>
    </xdr:from>
    <xdr:to>
      <xdr:col>3</xdr:col>
      <xdr:colOff>374015</xdr:colOff>
      <xdr:row>2</xdr:row>
      <xdr:rowOff>122555</xdr:rowOff>
    </xdr:to>
    <xdr:pic>
      <xdr:nvPicPr>
        <xdr:cNvPr id="624147" name="Picture 7" descr="emblogo">
          <a:extLst>
            <a:ext uri="{FF2B5EF4-FFF2-40B4-BE49-F238E27FC236}">
              <a16:creationId xmlns:a16="http://schemas.microsoft.com/office/drawing/2014/main" id="{00000000-0008-0000-0C00-0000138609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3795" y="60960"/>
          <a:ext cx="533400" cy="5441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</xdr:col>
      <xdr:colOff>388620</xdr:colOff>
      <xdr:row>14</xdr:row>
      <xdr:rowOff>198755</xdr:rowOff>
    </xdr:from>
    <xdr:to>
      <xdr:col>3</xdr:col>
      <xdr:colOff>549275</xdr:colOff>
      <xdr:row>14</xdr:row>
      <xdr:rowOff>321310</xdr:rowOff>
    </xdr:to>
    <xdr:sp macro="" textlink="">
      <xdr:nvSpPr>
        <xdr:cNvPr id="624148" name="Rectangle 19">
          <a:extLst>
            <a:ext uri="{FF2B5EF4-FFF2-40B4-BE49-F238E27FC236}">
              <a16:creationId xmlns:a16="http://schemas.microsoft.com/office/drawing/2014/main" id="{00000000-0008-0000-0C00-000014860900}"/>
            </a:ext>
          </a:extLst>
        </xdr:cNvPr>
        <xdr:cNvSpPr/>
      </xdr:nvSpPr>
      <xdr:spPr>
        <a:xfrm>
          <a:off x="2971800" y="5295265"/>
          <a:ext cx="160655" cy="12255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6</xdr:col>
      <xdr:colOff>624205</xdr:colOff>
      <xdr:row>14</xdr:row>
      <xdr:rowOff>205105</xdr:rowOff>
    </xdr:from>
    <xdr:to>
      <xdr:col>6</xdr:col>
      <xdr:colOff>784860</xdr:colOff>
      <xdr:row>14</xdr:row>
      <xdr:rowOff>327660</xdr:rowOff>
    </xdr:to>
    <xdr:sp macro="" textlink="">
      <xdr:nvSpPr>
        <xdr:cNvPr id="624149" name="Rectangle 14">
          <a:extLst>
            <a:ext uri="{FF2B5EF4-FFF2-40B4-BE49-F238E27FC236}">
              <a16:creationId xmlns:a16="http://schemas.microsoft.com/office/drawing/2014/main" id="{00000000-0008-0000-0C00-000015860900}"/>
            </a:ext>
          </a:extLst>
        </xdr:cNvPr>
        <xdr:cNvSpPr/>
      </xdr:nvSpPr>
      <xdr:spPr>
        <a:xfrm>
          <a:off x="6796405" y="5301615"/>
          <a:ext cx="160655" cy="12255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5</xdr:col>
      <xdr:colOff>1143000</xdr:colOff>
      <xdr:row>14</xdr:row>
      <xdr:rowOff>198755</xdr:rowOff>
    </xdr:from>
    <xdr:to>
      <xdr:col>6</xdr:col>
      <xdr:colOff>45720</xdr:colOff>
      <xdr:row>14</xdr:row>
      <xdr:rowOff>319405</xdr:rowOff>
    </xdr:to>
    <xdr:sp macro="" textlink="">
      <xdr:nvSpPr>
        <xdr:cNvPr id="624150" name="Rectangle 16">
          <a:extLst>
            <a:ext uri="{FF2B5EF4-FFF2-40B4-BE49-F238E27FC236}">
              <a16:creationId xmlns:a16="http://schemas.microsoft.com/office/drawing/2014/main" id="{00000000-0008-0000-0C00-000016860900}"/>
            </a:ext>
          </a:extLst>
        </xdr:cNvPr>
        <xdr:cNvSpPr/>
      </xdr:nvSpPr>
      <xdr:spPr>
        <a:xfrm>
          <a:off x="6057900" y="5295265"/>
          <a:ext cx="160020" cy="120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3</xdr:col>
      <xdr:colOff>388620</xdr:colOff>
      <xdr:row>14</xdr:row>
      <xdr:rowOff>198755</xdr:rowOff>
    </xdr:from>
    <xdr:to>
      <xdr:col>3</xdr:col>
      <xdr:colOff>549275</xdr:colOff>
      <xdr:row>14</xdr:row>
      <xdr:rowOff>321310</xdr:rowOff>
    </xdr:to>
    <xdr:sp macro="" textlink="">
      <xdr:nvSpPr>
        <xdr:cNvPr id="624151" name="Rectangle 19">
          <a:extLst>
            <a:ext uri="{FF2B5EF4-FFF2-40B4-BE49-F238E27FC236}">
              <a16:creationId xmlns:a16="http://schemas.microsoft.com/office/drawing/2014/main" id="{00000000-0008-0000-0C00-000017860900}"/>
            </a:ext>
          </a:extLst>
        </xdr:cNvPr>
        <xdr:cNvSpPr/>
      </xdr:nvSpPr>
      <xdr:spPr>
        <a:xfrm>
          <a:off x="2971800" y="5295265"/>
          <a:ext cx="160655" cy="12255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2</xdr:col>
      <xdr:colOff>1097915</xdr:colOff>
      <xdr:row>0</xdr:row>
      <xdr:rowOff>60960</xdr:rowOff>
    </xdr:from>
    <xdr:to>
      <xdr:col>3</xdr:col>
      <xdr:colOff>374015</xdr:colOff>
      <xdr:row>2</xdr:row>
      <xdr:rowOff>122555</xdr:rowOff>
    </xdr:to>
    <xdr:pic>
      <xdr:nvPicPr>
        <xdr:cNvPr id="624152" name="Picture 7" descr="emblogo">
          <a:extLst>
            <a:ext uri="{FF2B5EF4-FFF2-40B4-BE49-F238E27FC236}">
              <a16:creationId xmlns:a16="http://schemas.microsoft.com/office/drawing/2014/main" id="{00000000-0008-0000-0C00-0000188609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3795" y="60960"/>
          <a:ext cx="533400" cy="5441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</xdr:col>
      <xdr:colOff>1097915</xdr:colOff>
      <xdr:row>0</xdr:row>
      <xdr:rowOff>60960</xdr:rowOff>
    </xdr:from>
    <xdr:to>
      <xdr:col>3</xdr:col>
      <xdr:colOff>374015</xdr:colOff>
      <xdr:row>2</xdr:row>
      <xdr:rowOff>122555</xdr:rowOff>
    </xdr:to>
    <xdr:pic>
      <xdr:nvPicPr>
        <xdr:cNvPr id="624153" name="Picture 7" descr="emblogo">
          <a:extLst>
            <a:ext uri="{FF2B5EF4-FFF2-40B4-BE49-F238E27FC236}">
              <a16:creationId xmlns:a16="http://schemas.microsoft.com/office/drawing/2014/main" id="{00000000-0008-0000-0C00-0000198609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3795" y="60960"/>
          <a:ext cx="533400" cy="5441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</xdr:col>
      <xdr:colOff>388620</xdr:colOff>
      <xdr:row>14</xdr:row>
      <xdr:rowOff>198755</xdr:rowOff>
    </xdr:from>
    <xdr:to>
      <xdr:col>3</xdr:col>
      <xdr:colOff>549275</xdr:colOff>
      <xdr:row>14</xdr:row>
      <xdr:rowOff>321310</xdr:rowOff>
    </xdr:to>
    <xdr:sp macro="" textlink="">
      <xdr:nvSpPr>
        <xdr:cNvPr id="624154" name="Rectangle 19">
          <a:extLst>
            <a:ext uri="{FF2B5EF4-FFF2-40B4-BE49-F238E27FC236}">
              <a16:creationId xmlns:a16="http://schemas.microsoft.com/office/drawing/2014/main" id="{00000000-0008-0000-0C00-00001A860900}"/>
            </a:ext>
          </a:extLst>
        </xdr:cNvPr>
        <xdr:cNvSpPr/>
      </xdr:nvSpPr>
      <xdr:spPr>
        <a:xfrm>
          <a:off x="2971800" y="5295265"/>
          <a:ext cx="160655" cy="12255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6</xdr:col>
      <xdr:colOff>624205</xdr:colOff>
      <xdr:row>14</xdr:row>
      <xdr:rowOff>205105</xdr:rowOff>
    </xdr:from>
    <xdr:to>
      <xdr:col>6</xdr:col>
      <xdr:colOff>784860</xdr:colOff>
      <xdr:row>14</xdr:row>
      <xdr:rowOff>327660</xdr:rowOff>
    </xdr:to>
    <xdr:sp macro="" textlink="">
      <xdr:nvSpPr>
        <xdr:cNvPr id="624155" name="Rectangle 14">
          <a:extLst>
            <a:ext uri="{FF2B5EF4-FFF2-40B4-BE49-F238E27FC236}">
              <a16:creationId xmlns:a16="http://schemas.microsoft.com/office/drawing/2014/main" id="{00000000-0008-0000-0C00-00001B860900}"/>
            </a:ext>
          </a:extLst>
        </xdr:cNvPr>
        <xdr:cNvSpPr/>
      </xdr:nvSpPr>
      <xdr:spPr>
        <a:xfrm>
          <a:off x="6796405" y="5301615"/>
          <a:ext cx="160655" cy="12255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5</xdr:col>
      <xdr:colOff>1143000</xdr:colOff>
      <xdr:row>14</xdr:row>
      <xdr:rowOff>198755</xdr:rowOff>
    </xdr:from>
    <xdr:to>
      <xdr:col>6</xdr:col>
      <xdr:colOff>45720</xdr:colOff>
      <xdr:row>14</xdr:row>
      <xdr:rowOff>319405</xdr:rowOff>
    </xdr:to>
    <xdr:sp macro="" textlink="">
      <xdr:nvSpPr>
        <xdr:cNvPr id="624156" name="Rectangle 16">
          <a:extLst>
            <a:ext uri="{FF2B5EF4-FFF2-40B4-BE49-F238E27FC236}">
              <a16:creationId xmlns:a16="http://schemas.microsoft.com/office/drawing/2014/main" id="{00000000-0008-0000-0C00-00001C860900}"/>
            </a:ext>
          </a:extLst>
        </xdr:cNvPr>
        <xdr:cNvSpPr/>
      </xdr:nvSpPr>
      <xdr:spPr>
        <a:xfrm>
          <a:off x="6057900" y="5295265"/>
          <a:ext cx="160020" cy="120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3</xdr:col>
      <xdr:colOff>388620</xdr:colOff>
      <xdr:row>14</xdr:row>
      <xdr:rowOff>198755</xdr:rowOff>
    </xdr:from>
    <xdr:to>
      <xdr:col>3</xdr:col>
      <xdr:colOff>549275</xdr:colOff>
      <xdr:row>14</xdr:row>
      <xdr:rowOff>321310</xdr:rowOff>
    </xdr:to>
    <xdr:sp macro="" textlink="">
      <xdr:nvSpPr>
        <xdr:cNvPr id="624157" name="Rectangle 19">
          <a:extLst>
            <a:ext uri="{FF2B5EF4-FFF2-40B4-BE49-F238E27FC236}">
              <a16:creationId xmlns:a16="http://schemas.microsoft.com/office/drawing/2014/main" id="{00000000-0008-0000-0C00-00001D860900}"/>
            </a:ext>
          </a:extLst>
        </xdr:cNvPr>
        <xdr:cNvSpPr/>
      </xdr:nvSpPr>
      <xdr:spPr>
        <a:xfrm>
          <a:off x="2971800" y="5295265"/>
          <a:ext cx="160655" cy="12255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  <xdr:twoCellAnchor>
    <xdr:from>
      <xdr:col>4</xdr:col>
      <xdr:colOff>415925</xdr:colOff>
      <xdr:row>14</xdr:row>
      <xdr:rowOff>196850</xdr:rowOff>
    </xdr:from>
    <xdr:to>
      <xdr:col>4</xdr:col>
      <xdr:colOff>588010</xdr:colOff>
      <xdr:row>14</xdr:row>
      <xdr:rowOff>319405</xdr:rowOff>
    </xdr:to>
    <xdr:sp macro="" textlink="">
      <xdr:nvSpPr>
        <xdr:cNvPr id="624158" name="Rectangle 16">
          <a:extLst>
            <a:ext uri="{FF2B5EF4-FFF2-40B4-BE49-F238E27FC236}">
              <a16:creationId xmlns:a16="http://schemas.microsoft.com/office/drawing/2014/main" id="{00000000-0008-0000-0C00-00001E860900}"/>
            </a:ext>
          </a:extLst>
        </xdr:cNvPr>
        <xdr:cNvSpPr/>
      </xdr:nvSpPr>
      <xdr:spPr>
        <a:xfrm>
          <a:off x="4401185" y="5293360"/>
          <a:ext cx="172085" cy="12255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100000"/>
          </a:srgbClr>
        </a:solidFill>
        <a:ln w="190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/>
          <a:headEnd type="none" w="med" len="med"/>
          <a:tailEnd type="non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45"/>
  </sheetPr>
  <dimension ref="A1:H2314"/>
  <sheetViews>
    <sheetView topLeftCell="A42" zoomScale="85" workbookViewId="0">
      <selection activeCell="H53" sqref="H53"/>
    </sheetView>
  </sheetViews>
  <sheetFormatPr defaultColWidth="9" defaultRowHeight="13.2"/>
  <cols>
    <col min="1" max="1" width="11.19921875" style="268" customWidth="1"/>
    <col min="2" max="2" width="36.796875" style="268" customWidth="1"/>
    <col min="3" max="3" width="38.59765625" style="268" customWidth="1"/>
    <col min="4" max="4" width="11.19921875" style="268" customWidth="1"/>
    <col min="5" max="5" width="13.5" style="269" customWidth="1"/>
    <col min="6" max="6" width="12.69921875" style="268" customWidth="1"/>
    <col min="7" max="7" width="9" style="268"/>
    <col min="8" max="8" width="25.3984375" style="268" customWidth="1"/>
    <col min="9" max="15" width="9" style="268"/>
    <col min="16" max="16" width="18.3984375" style="268" customWidth="1"/>
    <col min="17" max="16384" width="9" style="268"/>
  </cols>
  <sheetData>
    <row r="1" spans="1:8" ht="21" customHeight="1">
      <c r="A1" s="270"/>
      <c r="B1" s="271" t="s">
        <v>0</v>
      </c>
      <c r="C1" s="270"/>
      <c r="D1" s="271" t="s">
        <v>1</v>
      </c>
      <c r="E1" s="272" t="s">
        <v>2</v>
      </c>
      <c r="F1" s="273" t="s">
        <v>3</v>
      </c>
      <c r="G1" s="273" t="s">
        <v>4</v>
      </c>
      <c r="H1" s="268" t="s">
        <v>707</v>
      </c>
    </row>
    <row r="2" spans="1:8" ht="20.100000000000001" customHeight="1">
      <c r="A2" s="274">
        <v>1</v>
      </c>
      <c r="B2" s="271" t="s">
        <v>5</v>
      </c>
      <c r="C2" s="275"/>
      <c r="D2" s="276" t="s">
        <v>6</v>
      </c>
      <c r="E2" s="277">
        <v>5</v>
      </c>
      <c r="F2" s="278" t="s">
        <v>7</v>
      </c>
      <c r="G2" s="277">
        <v>1</v>
      </c>
    </row>
    <row r="3" spans="1:8" ht="20.100000000000001" customHeight="1">
      <c r="A3" s="274">
        <v>2</v>
      </c>
      <c r="B3" s="271" t="s">
        <v>8</v>
      </c>
      <c r="C3" s="275"/>
      <c r="D3" s="276" t="s">
        <v>6</v>
      </c>
      <c r="E3" s="277">
        <v>6</v>
      </c>
      <c r="F3" s="278" t="s">
        <v>9</v>
      </c>
      <c r="G3" s="277">
        <v>2</v>
      </c>
    </row>
    <row r="4" spans="1:8" ht="25.5" customHeight="1">
      <c r="A4" s="274">
        <v>3</v>
      </c>
      <c r="B4" s="271" t="s">
        <v>10</v>
      </c>
      <c r="C4" s="275"/>
      <c r="D4" s="276" t="s">
        <v>6</v>
      </c>
      <c r="E4" s="277">
        <v>7</v>
      </c>
      <c r="F4" s="278" t="s">
        <v>11</v>
      </c>
      <c r="G4" s="277">
        <v>3</v>
      </c>
    </row>
    <row r="5" spans="1:8" ht="20.100000000000001" customHeight="1">
      <c r="A5" s="274">
        <v>4</v>
      </c>
      <c r="B5" s="271" t="s">
        <v>12</v>
      </c>
      <c r="C5" s="275"/>
      <c r="D5" s="276" t="s">
        <v>13</v>
      </c>
      <c r="E5" s="277">
        <v>8</v>
      </c>
      <c r="F5" s="278" t="s">
        <v>14</v>
      </c>
      <c r="G5" s="277">
        <v>4</v>
      </c>
    </row>
    <row r="6" spans="1:8" ht="20.100000000000001" customHeight="1">
      <c r="A6" s="274">
        <v>5</v>
      </c>
      <c r="B6" s="271" t="s">
        <v>15</v>
      </c>
      <c r="C6" s="275"/>
      <c r="D6" s="276" t="s">
        <v>13</v>
      </c>
      <c r="E6" s="277">
        <v>9</v>
      </c>
      <c r="F6" s="278" t="s">
        <v>16</v>
      </c>
      <c r="G6" s="277">
        <v>5</v>
      </c>
    </row>
    <row r="7" spans="1:8" ht="20.100000000000001" customHeight="1">
      <c r="A7" s="274">
        <v>6</v>
      </c>
      <c r="B7" s="271" t="s">
        <v>17</v>
      </c>
      <c r="C7" s="275"/>
      <c r="D7" s="276" t="s">
        <v>13</v>
      </c>
      <c r="E7" s="277">
        <v>10</v>
      </c>
      <c r="F7" s="278" t="s">
        <v>18</v>
      </c>
      <c r="G7" s="277">
        <v>6</v>
      </c>
    </row>
    <row r="8" spans="1:8" ht="20.100000000000001" customHeight="1">
      <c r="A8" s="274">
        <v>7</v>
      </c>
      <c r="B8" s="271" t="s">
        <v>19</v>
      </c>
      <c r="C8" s="275"/>
      <c r="D8" s="276" t="s">
        <v>13</v>
      </c>
      <c r="E8" s="277">
        <v>11</v>
      </c>
      <c r="F8" s="278" t="s">
        <v>20</v>
      </c>
      <c r="G8" s="277">
        <v>7</v>
      </c>
    </row>
    <row r="9" spans="1:8" ht="20.100000000000001" customHeight="1">
      <c r="A9" s="274">
        <v>8</v>
      </c>
      <c r="B9" s="271" t="s">
        <v>21</v>
      </c>
      <c r="C9" s="275"/>
      <c r="D9" s="276" t="s">
        <v>13</v>
      </c>
      <c r="E9" s="277">
        <v>12</v>
      </c>
      <c r="F9" s="278" t="s">
        <v>22</v>
      </c>
      <c r="G9" s="277">
        <v>8</v>
      </c>
    </row>
    <row r="10" spans="1:8" ht="20.100000000000001" customHeight="1">
      <c r="A10" s="274">
        <v>9</v>
      </c>
      <c r="B10" s="271" t="s">
        <v>23</v>
      </c>
      <c r="C10" s="275"/>
      <c r="D10" s="276" t="s">
        <v>6</v>
      </c>
      <c r="E10" s="277">
        <v>13</v>
      </c>
      <c r="F10" s="278" t="s">
        <v>24</v>
      </c>
      <c r="G10" s="277">
        <v>9</v>
      </c>
    </row>
    <row r="11" spans="1:8" ht="20.100000000000001" customHeight="1">
      <c r="A11" s="274">
        <v>10</v>
      </c>
      <c r="B11" s="271" t="s">
        <v>25</v>
      </c>
      <c r="C11" s="275"/>
      <c r="D11" s="276" t="s">
        <v>6</v>
      </c>
      <c r="E11" s="277">
        <v>14</v>
      </c>
      <c r="F11" s="278" t="s">
        <v>26</v>
      </c>
      <c r="G11" s="277">
        <v>10</v>
      </c>
    </row>
    <row r="12" spans="1:8" ht="20.100000000000001" customHeight="1">
      <c r="A12" s="274">
        <v>11</v>
      </c>
      <c r="B12" s="271" t="s">
        <v>27</v>
      </c>
      <c r="C12" s="275"/>
      <c r="D12" s="276" t="s">
        <v>6</v>
      </c>
      <c r="E12" s="277">
        <v>15</v>
      </c>
      <c r="F12" s="278" t="s">
        <v>28</v>
      </c>
      <c r="G12" s="277">
        <v>11</v>
      </c>
    </row>
    <row r="13" spans="1:8" ht="20.100000000000001" customHeight="1">
      <c r="A13" s="274">
        <v>12</v>
      </c>
      <c r="B13" s="279"/>
      <c r="C13" s="280"/>
      <c r="D13" s="281"/>
      <c r="E13" s="282"/>
      <c r="F13" s="283"/>
    </row>
    <row r="14" spans="1:8" ht="20.100000000000001" customHeight="1">
      <c r="A14" s="274">
        <v>13</v>
      </c>
      <c r="B14" s="279"/>
      <c r="C14" s="280"/>
      <c r="D14" s="281"/>
      <c r="E14" s="282"/>
      <c r="F14" s="283"/>
    </row>
    <row r="15" spans="1:8" ht="20.100000000000001" customHeight="1">
      <c r="A15" s="284"/>
      <c r="B15" s="271" t="s">
        <v>0</v>
      </c>
      <c r="C15" s="270"/>
      <c r="D15" s="271" t="s">
        <v>1</v>
      </c>
      <c r="E15" s="272" t="s">
        <v>2</v>
      </c>
      <c r="F15" s="273" t="s">
        <v>3</v>
      </c>
      <c r="G15" s="273" t="s">
        <v>4</v>
      </c>
      <c r="H15" s="268" t="s">
        <v>708</v>
      </c>
    </row>
    <row r="16" spans="1:8" ht="20.100000000000001" customHeight="1">
      <c r="A16" s="274">
        <v>1</v>
      </c>
      <c r="B16" s="285" t="s">
        <v>29</v>
      </c>
      <c r="C16" s="275"/>
      <c r="D16" s="276" t="s">
        <v>30</v>
      </c>
      <c r="E16" s="277">
        <v>6</v>
      </c>
      <c r="F16" s="278" t="s">
        <v>31</v>
      </c>
      <c r="G16" s="277">
        <v>1</v>
      </c>
    </row>
    <row r="17" spans="1:7" ht="20.100000000000001" customHeight="1">
      <c r="A17" s="274">
        <v>2</v>
      </c>
      <c r="B17" s="285" t="s">
        <v>32</v>
      </c>
      <c r="C17" s="275"/>
      <c r="D17" s="276" t="s">
        <v>30</v>
      </c>
      <c r="E17" s="277">
        <v>7</v>
      </c>
      <c r="F17" s="278" t="s">
        <v>33</v>
      </c>
      <c r="G17" s="277">
        <v>2</v>
      </c>
    </row>
    <row r="18" spans="1:7" ht="20.100000000000001" customHeight="1">
      <c r="A18" s="274">
        <v>3</v>
      </c>
      <c r="B18" s="285" t="s">
        <v>34</v>
      </c>
      <c r="C18" s="275"/>
      <c r="D18" s="276" t="s">
        <v>35</v>
      </c>
      <c r="E18" s="277">
        <v>8</v>
      </c>
      <c r="F18" s="278" t="s">
        <v>36</v>
      </c>
      <c r="G18" s="277">
        <v>3</v>
      </c>
    </row>
    <row r="19" spans="1:7" ht="20.100000000000001" customHeight="1">
      <c r="A19" s="274">
        <v>4</v>
      </c>
      <c r="B19" s="285" t="s">
        <v>37</v>
      </c>
      <c r="C19" s="275"/>
      <c r="D19" s="276" t="s">
        <v>38</v>
      </c>
      <c r="E19" s="277">
        <v>9</v>
      </c>
      <c r="F19" s="278" t="s">
        <v>39</v>
      </c>
      <c r="G19" s="277">
        <v>4</v>
      </c>
    </row>
    <row r="20" spans="1:7" ht="20.100000000000001" customHeight="1">
      <c r="A20" s="274">
        <v>5</v>
      </c>
      <c r="B20" s="285" t="s">
        <v>40</v>
      </c>
      <c r="C20" s="275"/>
      <c r="D20" s="276" t="s">
        <v>38</v>
      </c>
      <c r="E20" s="277">
        <v>10</v>
      </c>
      <c r="F20" s="278" t="s">
        <v>41</v>
      </c>
      <c r="G20" s="277">
        <v>5</v>
      </c>
    </row>
    <row r="21" spans="1:7" ht="20.100000000000001" customHeight="1">
      <c r="A21" s="274">
        <v>6</v>
      </c>
      <c r="B21" s="285" t="s">
        <v>42</v>
      </c>
      <c r="C21" s="275"/>
      <c r="D21" s="276" t="s">
        <v>43</v>
      </c>
      <c r="E21" s="277">
        <v>11</v>
      </c>
      <c r="F21" s="278" t="s">
        <v>44</v>
      </c>
      <c r="G21" s="277">
        <v>6</v>
      </c>
    </row>
    <row r="22" spans="1:7" ht="20.100000000000001" customHeight="1">
      <c r="A22" s="274">
        <v>7</v>
      </c>
      <c r="B22" s="285" t="s">
        <v>45</v>
      </c>
      <c r="C22" s="275"/>
      <c r="D22" s="276" t="s">
        <v>38</v>
      </c>
      <c r="E22" s="277">
        <v>12</v>
      </c>
      <c r="F22" s="278" t="s">
        <v>46</v>
      </c>
      <c r="G22" s="277">
        <v>7</v>
      </c>
    </row>
    <row r="23" spans="1:7" ht="20.100000000000001" customHeight="1">
      <c r="A23" s="274">
        <v>8</v>
      </c>
      <c r="B23" s="285" t="s">
        <v>47</v>
      </c>
      <c r="C23" s="275"/>
      <c r="D23" s="276" t="s">
        <v>38</v>
      </c>
      <c r="E23" s="277">
        <v>13</v>
      </c>
      <c r="F23" s="278" t="s">
        <v>48</v>
      </c>
      <c r="G23" s="277">
        <v>8</v>
      </c>
    </row>
    <row r="24" spans="1:7" ht="20.100000000000001" customHeight="1">
      <c r="A24" s="274">
        <v>9</v>
      </c>
      <c r="B24" s="285" t="s">
        <v>49</v>
      </c>
      <c r="C24" s="275"/>
      <c r="D24" s="276" t="s">
        <v>50</v>
      </c>
      <c r="E24" s="277">
        <v>14</v>
      </c>
      <c r="F24" s="278" t="s">
        <v>51</v>
      </c>
      <c r="G24" s="277">
        <v>9</v>
      </c>
    </row>
    <row r="25" spans="1:7" ht="20.100000000000001" customHeight="1">
      <c r="A25" s="274">
        <v>10</v>
      </c>
      <c r="B25" s="285" t="s">
        <v>52</v>
      </c>
      <c r="C25" s="275"/>
      <c r="D25" s="276" t="s">
        <v>6</v>
      </c>
      <c r="E25" s="277">
        <v>15</v>
      </c>
      <c r="F25" s="278" t="s">
        <v>53</v>
      </c>
      <c r="G25" s="277">
        <v>10</v>
      </c>
    </row>
    <row r="26" spans="1:7" ht="20.100000000000001" customHeight="1">
      <c r="A26" s="274">
        <v>11</v>
      </c>
      <c r="B26" s="285" t="s">
        <v>54</v>
      </c>
      <c r="C26" s="275"/>
      <c r="D26" s="276" t="s">
        <v>55</v>
      </c>
      <c r="E26" s="277">
        <v>16</v>
      </c>
      <c r="F26" s="278" t="s">
        <v>56</v>
      </c>
      <c r="G26" s="277">
        <v>11</v>
      </c>
    </row>
    <row r="27" spans="1:7" ht="20.100000000000001" customHeight="1">
      <c r="A27" s="274">
        <v>12</v>
      </c>
      <c r="B27" s="285" t="s">
        <v>57</v>
      </c>
      <c r="C27" s="275"/>
      <c r="D27" s="286" t="s">
        <v>38</v>
      </c>
      <c r="E27" s="277">
        <v>17</v>
      </c>
      <c r="F27" s="278" t="s">
        <v>58</v>
      </c>
      <c r="G27" s="277">
        <v>12</v>
      </c>
    </row>
    <row r="28" spans="1:7" ht="20.100000000000001" customHeight="1">
      <c r="A28" s="274">
        <v>13</v>
      </c>
      <c r="B28" s="285" t="s">
        <v>59</v>
      </c>
      <c r="C28" s="275"/>
      <c r="D28" s="286" t="s">
        <v>30</v>
      </c>
      <c r="E28" s="277">
        <v>18</v>
      </c>
      <c r="F28" s="278" t="s">
        <v>60</v>
      </c>
      <c r="G28" s="277">
        <v>13</v>
      </c>
    </row>
    <row r="29" spans="1:7" ht="20.100000000000001" customHeight="1">
      <c r="A29" s="274">
        <v>14</v>
      </c>
      <c r="B29" s="285" t="s">
        <v>61</v>
      </c>
      <c r="C29" s="275"/>
      <c r="D29" s="286" t="s">
        <v>30</v>
      </c>
      <c r="E29" s="277">
        <v>19</v>
      </c>
      <c r="F29" s="278" t="s">
        <v>60</v>
      </c>
      <c r="G29" s="277">
        <v>14</v>
      </c>
    </row>
    <row r="30" spans="1:7" ht="20.100000000000001" customHeight="1">
      <c r="A30" s="274">
        <v>15</v>
      </c>
      <c r="B30" s="285" t="s">
        <v>62</v>
      </c>
      <c r="C30" s="275"/>
      <c r="D30" s="286" t="s">
        <v>30</v>
      </c>
      <c r="E30" s="277">
        <v>20</v>
      </c>
      <c r="F30" s="278" t="s">
        <v>63</v>
      </c>
      <c r="G30" s="277">
        <v>15</v>
      </c>
    </row>
    <row r="31" spans="1:7" ht="20.100000000000001" customHeight="1">
      <c r="A31" s="274">
        <v>16</v>
      </c>
      <c r="B31" s="285" t="s">
        <v>64</v>
      </c>
      <c r="C31" s="275"/>
      <c r="D31" s="286" t="s">
        <v>30</v>
      </c>
      <c r="E31" s="277">
        <v>21</v>
      </c>
      <c r="F31" s="278" t="s">
        <v>63</v>
      </c>
      <c r="G31" s="277">
        <v>16</v>
      </c>
    </row>
    <row r="32" spans="1:7" ht="20.100000000000001" customHeight="1">
      <c r="A32" s="274">
        <v>17</v>
      </c>
      <c r="B32" s="285" t="s">
        <v>65</v>
      </c>
      <c r="C32" s="275"/>
      <c r="D32" s="286" t="s">
        <v>66</v>
      </c>
      <c r="E32" s="277">
        <v>22</v>
      </c>
      <c r="F32" s="278" t="s">
        <v>67</v>
      </c>
      <c r="G32" s="277">
        <v>17</v>
      </c>
    </row>
    <row r="33" spans="1:7" ht="20.100000000000001" customHeight="1">
      <c r="A33" s="274">
        <v>18</v>
      </c>
      <c r="B33" s="285" t="s">
        <v>68</v>
      </c>
      <c r="C33" s="275"/>
      <c r="D33" s="276" t="s">
        <v>69</v>
      </c>
      <c r="E33" s="277">
        <v>23</v>
      </c>
      <c r="F33" s="278" t="s">
        <v>70</v>
      </c>
      <c r="G33" s="277">
        <v>18</v>
      </c>
    </row>
    <row r="34" spans="1:7" ht="20.100000000000001" customHeight="1">
      <c r="A34" s="274">
        <v>19</v>
      </c>
      <c r="B34" s="285" t="s">
        <v>71</v>
      </c>
      <c r="C34" s="275"/>
      <c r="D34" s="276" t="s">
        <v>69</v>
      </c>
      <c r="E34" s="277">
        <v>24</v>
      </c>
      <c r="F34" s="278" t="s">
        <v>72</v>
      </c>
      <c r="G34" s="277">
        <v>19</v>
      </c>
    </row>
    <row r="35" spans="1:7" ht="20.100000000000001" customHeight="1">
      <c r="A35" s="274">
        <v>20</v>
      </c>
      <c r="B35" s="285" t="s">
        <v>73</v>
      </c>
      <c r="C35" s="275"/>
      <c r="D35" s="286" t="s">
        <v>43</v>
      </c>
      <c r="E35" s="277">
        <v>25</v>
      </c>
      <c r="F35" s="278" t="s">
        <v>74</v>
      </c>
      <c r="G35" s="277">
        <v>20</v>
      </c>
    </row>
    <row r="36" spans="1:7" ht="20.100000000000001" customHeight="1">
      <c r="A36" s="274">
        <v>21</v>
      </c>
      <c r="B36" s="285" t="s">
        <v>75</v>
      </c>
      <c r="C36" s="275"/>
      <c r="D36" s="286" t="s">
        <v>43</v>
      </c>
      <c r="E36" s="277">
        <v>26</v>
      </c>
      <c r="F36" s="278" t="s">
        <v>76</v>
      </c>
      <c r="G36" s="277">
        <v>21</v>
      </c>
    </row>
    <row r="37" spans="1:7" ht="20.100000000000001" customHeight="1">
      <c r="A37" s="274">
        <v>22</v>
      </c>
      <c r="B37" s="287"/>
      <c r="C37" s="280"/>
      <c r="D37" s="288"/>
      <c r="E37" s="282"/>
      <c r="F37" s="289"/>
    </row>
    <row r="38" spans="1:7" ht="20.100000000000001" customHeight="1">
      <c r="A38" s="274">
        <v>23</v>
      </c>
      <c r="B38" s="287"/>
      <c r="C38" s="280"/>
      <c r="D38" s="288"/>
      <c r="E38" s="282"/>
      <c r="F38" s="289"/>
    </row>
    <row r="39" spans="1:7" ht="20.100000000000001" customHeight="1">
      <c r="A39" s="274">
        <v>24</v>
      </c>
      <c r="B39" s="290"/>
      <c r="C39" s="280"/>
      <c r="D39" s="291"/>
      <c r="E39" s="282"/>
      <c r="F39" s="289"/>
    </row>
    <row r="40" spans="1:7" ht="20.100000000000001" customHeight="1">
      <c r="A40" s="274">
        <v>25</v>
      </c>
      <c r="B40" s="290"/>
      <c r="C40" s="280"/>
      <c r="D40" s="291"/>
      <c r="E40" s="282"/>
      <c r="F40" s="283"/>
    </row>
    <row r="41" spans="1:7" ht="20.100000000000001" customHeight="1">
      <c r="A41" s="274">
        <v>26</v>
      </c>
      <c r="B41" s="290"/>
      <c r="C41" s="280"/>
      <c r="D41" s="291"/>
      <c r="E41" s="282"/>
      <c r="F41" s="283"/>
    </row>
    <row r="42" spans="1:7" ht="20.100000000000001" customHeight="1">
      <c r="A42" s="274">
        <v>27</v>
      </c>
      <c r="B42" s="290"/>
      <c r="C42" s="280"/>
      <c r="D42" s="291"/>
      <c r="E42" s="282"/>
      <c r="F42" s="283"/>
    </row>
    <row r="43" spans="1:7" ht="20.100000000000001" customHeight="1">
      <c r="A43" s="274">
        <v>28</v>
      </c>
      <c r="B43" s="290"/>
      <c r="C43" s="280"/>
      <c r="D43" s="291"/>
      <c r="E43" s="282"/>
      <c r="F43" s="283"/>
    </row>
    <row r="44" spans="1:7" ht="20.100000000000001" customHeight="1">
      <c r="A44" s="274">
        <v>29</v>
      </c>
      <c r="B44" s="290"/>
      <c r="C44" s="280"/>
      <c r="D44" s="291"/>
      <c r="E44" s="282"/>
      <c r="F44" s="283"/>
    </row>
    <row r="45" spans="1:7" ht="20.100000000000001" customHeight="1">
      <c r="A45" s="274">
        <v>30</v>
      </c>
      <c r="B45" s="290"/>
      <c r="C45" s="280"/>
      <c r="D45" s="291"/>
      <c r="E45" s="292"/>
      <c r="F45" s="283"/>
    </row>
    <row r="46" spans="1:7" ht="20.100000000000001" customHeight="1">
      <c r="A46" s="274">
        <v>31</v>
      </c>
      <c r="B46" s="290"/>
      <c r="C46" s="280"/>
      <c r="D46" s="291"/>
      <c r="E46" s="292"/>
      <c r="F46" s="283"/>
    </row>
    <row r="47" spans="1:7" ht="20.100000000000001" customHeight="1">
      <c r="A47" s="274">
        <v>32</v>
      </c>
      <c r="B47" s="290"/>
      <c r="C47" s="280"/>
      <c r="D47" s="291"/>
      <c r="E47" s="292"/>
      <c r="F47" s="283"/>
    </row>
    <row r="48" spans="1:7" ht="20.100000000000001" customHeight="1">
      <c r="A48" s="274">
        <v>33</v>
      </c>
      <c r="B48" s="290"/>
      <c r="C48" s="280"/>
      <c r="D48" s="291"/>
      <c r="E48" s="292"/>
      <c r="F48" s="283"/>
    </row>
    <row r="49" spans="1:8" ht="20.100000000000001" customHeight="1">
      <c r="A49" s="274">
        <v>34</v>
      </c>
      <c r="B49" s="290"/>
      <c r="C49" s="280"/>
      <c r="D49" s="291"/>
      <c r="E49" s="292"/>
      <c r="F49" s="283"/>
    </row>
    <row r="50" spans="1:8" ht="20.100000000000001" customHeight="1">
      <c r="A50" s="284"/>
      <c r="C50" s="271" t="s">
        <v>0</v>
      </c>
      <c r="D50" s="271" t="s">
        <v>1</v>
      </c>
      <c r="E50" s="272" t="s">
        <v>2</v>
      </c>
      <c r="F50" s="273" t="s">
        <v>3</v>
      </c>
      <c r="G50" s="273" t="s">
        <v>4</v>
      </c>
      <c r="H50" s="268" t="s">
        <v>705</v>
      </c>
    </row>
    <row r="51" spans="1:8" ht="20.100000000000001" customHeight="1">
      <c r="A51" s="274">
        <v>1</v>
      </c>
      <c r="B51" s="293"/>
      <c r="C51" s="293" t="s">
        <v>77</v>
      </c>
      <c r="D51" s="294" t="s">
        <v>78</v>
      </c>
      <c r="E51" s="295">
        <v>7</v>
      </c>
      <c r="F51" s="278" t="s">
        <v>79</v>
      </c>
      <c r="G51" s="295">
        <v>1</v>
      </c>
    </row>
    <row r="52" spans="1:8" ht="20.100000000000001" customHeight="1">
      <c r="A52" s="274">
        <v>2</v>
      </c>
      <c r="B52" s="293"/>
      <c r="C52" s="293" t="s">
        <v>80</v>
      </c>
      <c r="D52" s="296" t="s">
        <v>81</v>
      </c>
      <c r="E52" s="295">
        <v>8</v>
      </c>
      <c r="F52" s="278" t="s">
        <v>82</v>
      </c>
      <c r="G52" s="295">
        <v>2</v>
      </c>
    </row>
    <row r="53" spans="1:8" ht="20.100000000000001" customHeight="1">
      <c r="A53" s="274">
        <v>3</v>
      </c>
      <c r="B53" s="293"/>
      <c r="C53" s="293" t="s">
        <v>83</v>
      </c>
      <c r="D53" s="296" t="s">
        <v>81</v>
      </c>
      <c r="E53" s="295">
        <v>9</v>
      </c>
      <c r="F53" s="278" t="s">
        <v>84</v>
      </c>
      <c r="G53" s="295">
        <v>3</v>
      </c>
    </row>
    <row r="54" spans="1:8" ht="20.100000000000001" customHeight="1">
      <c r="A54" s="274">
        <v>4</v>
      </c>
      <c r="B54" s="293"/>
      <c r="C54" s="293" t="s">
        <v>85</v>
      </c>
      <c r="D54" s="296" t="s">
        <v>81</v>
      </c>
      <c r="E54" s="295">
        <v>10</v>
      </c>
      <c r="F54" s="278" t="s">
        <v>86</v>
      </c>
      <c r="G54" s="295">
        <v>4</v>
      </c>
    </row>
    <row r="55" spans="1:8" ht="20.100000000000001" customHeight="1">
      <c r="A55" s="274">
        <v>5</v>
      </c>
      <c r="B55" s="293"/>
      <c r="C55" s="293" t="s">
        <v>87</v>
      </c>
      <c r="D55" s="296" t="s">
        <v>81</v>
      </c>
      <c r="E55" s="295">
        <v>11</v>
      </c>
      <c r="F55" s="278" t="s">
        <v>88</v>
      </c>
      <c r="G55" s="295">
        <v>5</v>
      </c>
    </row>
    <row r="56" spans="1:8" ht="20.100000000000001" customHeight="1">
      <c r="A56" s="274">
        <v>6</v>
      </c>
      <c r="B56" s="293"/>
      <c r="C56" s="293" t="s">
        <v>89</v>
      </c>
      <c r="D56" s="296" t="s">
        <v>81</v>
      </c>
      <c r="E56" s="295">
        <v>12</v>
      </c>
      <c r="F56" s="278" t="s">
        <v>90</v>
      </c>
      <c r="G56" s="295">
        <v>6</v>
      </c>
    </row>
    <row r="57" spans="1:8" ht="20.100000000000001" customHeight="1">
      <c r="A57" s="274">
        <v>7</v>
      </c>
      <c r="B57" s="293"/>
      <c r="C57" s="293" t="s">
        <v>91</v>
      </c>
      <c r="D57" s="296" t="s">
        <v>81</v>
      </c>
      <c r="E57" s="295">
        <v>13</v>
      </c>
      <c r="F57" s="278" t="s">
        <v>92</v>
      </c>
      <c r="G57" s="295">
        <v>7</v>
      </c>
    </row>
    <row r="58" spans="1:8" ht="20.100000000000001" customHeight="1">
      <c r="A58" s="274">
        <v>8</v>
      </c>
      <c r="B58" s="293"/>
      <c r="C58" s="293" t="s">
        <v>93</v>
      </c>
      <c r="D58" s="296" t="s">
        <v>81</v>
      </c>
      <c r="E58" s="295">
        <v>14</v>
      </c>
      <c r="F58" s="278" t="s">
        <v>94</v>
      </c>
      <c r="G58" s="295">
        <v>8</v>
      </c>
    </row>
    <row r="59" spans="1:8" ht="20.100000000000001" customHeight="1">
      <c r="A59" s="274">
        <v>9</v>
      </c>
      <c r="B59" s="293"/>
      <c r="C59" s="293" t="s">
        <v>95</v>
      </c>
      <c r="D59" s="296" t="s">
        <v>81</v>
      </c>
      <c r="E59" s="295">
        <v>15</v>
      </c>
      <c r="F59" s="278" t="s">
        <v>96</v>
      </c>
      <c r="G59" s="295">
        <v>9</v>
      </c>
    </row>
    <row r="60" spans="1:8" ht="20.100000000000001" customHeight="1">
      <c r="A60" s="274">
        <v>10</v>
      </c>
      <c r="B60" s="293"/>
      <c r="C60" s="293" t="s">
        <v>97</v>
      </c>
      <c r="D60" s="296" t="s">
        <v>81</v>
      </c>
      <c r="E60" s="295">
        <v>16</v>
      </c>
      <c r="F60" s="278" t="s">
        <v>98</v>
      </c>
      <c r="G60" s="295">
        <v>10</v>
      </c>
    </row>
    <row r="61" spans="1:8" ht="20.100000000000001" customHeight="1">
      <c r="A61" s="274">
        <v>11</v>
      </c>
      <c r="B61" s="293"/>
      <c r="C61" s="293" t="s">
        <v>99</v>
      </c>
      <c r="D61" s="296" t="s">
        <v>81</v>
      </c>
      <c r="E61" s="295">
        <v>17</v>
      </c>
      <c r="F61" s="278" t="s">
        <v>100</v>
      </c>
      <c r="G61" s="295">
        <v>11</v>
      </c>
    </row>
    <row r="62" spans="1:8" ht="20.100000000000001" customHeight="1">
      <c r="A62" s="274">
        <v>12</v>
      </c>
      <c r="B62" s="293"/>
      <c r="C62" s="293" t="s">
        <v>101</v>
      </c>
      <c r="D62" s="296" t="s">
        <v>81</v>
      </c>
      <c r="E62" s="295">
        <v>18</v>
      </c>
      <c r="F62" s="278" t="s">
        <v>102</v>
      </c>
      <c r="G62" s="295">
        <v>12</v>
      </c>
    </row>
    <row r="63" spans="1:8" ht="20.100000000000001" customHeight="1">
      <c r="A63" s="274">
        <v>13</v>
      </c>
      <c r="B63" s="293"/>
      <c r="C63" s="293" t="s">
        <v>103</v>
      </c>
      <c r="D63" s="296" t="s">
        <v>81</v>
      </c>
      <c r="E63" s="295">
        <v>19</v>
      </c>
      <c r="F63" s="278" t="s">
        <v>104</v>
      </c>
      <c r="G63" s="295">
        <v>13</v>
      </c>
    </row>
    <row r="64" spans="1:8" ht="20.100000000000001" customHeight="1">
      <c r="A64" s="274">
        <v>14</v>
      </c>
      <c r="B64" s="293"/>
      <c r="C64" s="293" t="s">
        <v>105</v>
      </c>
      <c r="D64" s="296" t="s">
        <v>81</v>
      </c>
      <c r="E64" s="295">
        <v>20</v>
      </c>
      <c r="F64" s="278" t="s">
        <v>106</v>
      </c>
      <c r="G64" s="295">
        <v>14</v>
      </c>
    </row>
    <row r="65" spans="1:7" ht="20.100000000000001" customHeight="1">
      <c r="A65" s="274">
        <v>15</v>
      </c>
      <c r="B65" s="293"/>
      <c r="C65" s="293" t="s">
        <v>107</v>
      </c>
      <c r="D65" s="296" t="s">
        <v>81</v>
      </c>
      <c r="E65" s="295">
        <v>21</v>
      </c>
      <c r="F65" s="278" t="s">
        <v>108</v>
      </c>
      <c r="G65" s="295">
        <v>15</v>
      </c>
    </row>
    <row r="66" spans="1:7" ht="20.100000000000001" customHeight="1">
      <c r="A66" s="274">
        <v>16</v>
      </c>
      <c r="B66" s="293"/>
      <c r="C66" s="293" t="s">
        <v>109</v>
      </c>
      <c r="D66" s="296" t="s">
        <v>81</v>
      </c>
      <c r="E66" s="295">
        <v>22</v>
      </c>
      <c r="F66" s="278" t="s">
        <v>110</v>
      </c>
      <c r="G66" s="295">
        <v>16</v>
      </c>
    </row>
    <row r="67" spans="1:7" ht="20.100000000000001" customHeight="1">
      <c r="A67" s="274">
        <v>17</v>
      </c>
      <c r="B67" s="293"/>
      <c r="C67" s="293" t="s">
        <v>111</v>
      </c>
      <c r="D67" s="296" t="s">
        <v>81</v>
      </c>
      <c r="E67" s="295">
        <v>23</v>
      </c>
      <c r="F67" s="278" t="s">
        <v>112</v>
      </c>
      <c r="G67" s="295">
        <v>17</v>
      </c>
    </row>
    <row r="68" spans="1:7" ht="20.100000000000001" customHeight="1">
      <c r="A68" s="274">
        <v>18</v>
      </c>
      <c r="B68" s="293"/>
      <c r="C68" s="293" t="s">
        <v>113</v>
      </c>
      <c r="D68" s="296" t="s">
        <v>81</v>
      </c>
      <c r="E68" s="295">
        <v>24</v>
      </c>
      <c r="F68" s="278" t="s">
        <v>114</v>
      </c>
      <c r="G68" s="295">
        <v>18</v>
      </c>
    </row>
    <row r="69" spans="1:7" ht="20.100000000000001" customHeight="1">
      <c r="A69" s="274">
        <v>19</v>
      </c>
      <c r="B69" s="293"/>
      <c r="C69" s="293" t="s">
        <v>115</v>
      </c>
      <c r="D69" s="296" t="s">
        <v>81</v>
      </c>
      <c r="E69" s="295">
        <v>25</v>
      </c>
      <c r="F69" s="278" t="s">
        <v>116</v>
      </c>
      <c r="G69" s="295">
        <v>19</v>
      </c>
    </row>
    <row r="70" spans="1:7" ht="20.100000000000001" customHeight="1">
      <c r="A70" s="274">
        <v>20</v>
      </c>
      <c r="B70" s="293"/>
      <c r="C70" s="293" t="s">
        <v>117</v>
      </c>
      <c r="D70" s="296" t="s">
        <v>81</v>
      </c>
      <c r="E70" s="295">
        <v>26</v>
      </c>
      <c r="F70" s="278" t="s">
        <v>118</v>
      </c>
      <c r="G70" s="295">
        <v>20</v>
      </c>
    </row>
    <row r="71" spans="1:7" ht="20.100000000000001" customHeight="1">
      <c r="A71" s="274">
        <v>21</v>
      </c>
      <c r="B71" s="293"/>
      <c r="C71" s="293" t="s">
        <v>119</v>
      </c>
      <c r="D71" s="296" t="s">
        <v>81</v>
      </c>
      <c r="E71" s="295">
        <v>27</v>
      </c>
      <c r="F71" s="278" t="s">
        <v>120</v>
      </c>
      <c r="G71" s="295">
        <v>21</v>
      </c>
    </row>
    <row r="72" spans="1:7" ht="20.100000000000001" customHeight="1">
      <c r="A72" s="274">
        <v>22</v>
      </c>
      <c r="B72" s="293"/>
      <c r="C72" s="293" t="s">
        <v>121</v>
      </c>
      <c r="D72" s="296" t="s">
        <v>81</v>
      </c>
      <c r="E72" s="295">
        <v>28</v>
      </c>
      <c r="F72" s="278" t="s">
        <v>122</v>
      </c>
      <c r="G72" s="295">
        <v>22</v>
      </c>
    </row>
    <row r="73" spans="1:7" ht="20.100000000000001" customHeight="1">
      <c r="A73" s="274">
        <v>23</v>
      </c>
      <c r="B73" s="293"/>
      <c r="C73" s="293" t="s">
        <v>123</v>
      </c>
      <c r="D73" s="296" t="s">
        <v>81</v>
      </c>
      <c r="E73" s="295">
        <v>29</v>
      </c>
      <c r="F73" s="278" t="s">
        <v>124</v>
      </c>
      <c r="G73" s="295">
        <v>23</v>
      </c>
    </row>
    <row r="74" spans="1:7" ht="20.100000000000001" customHeight="1">
      <c r="A74" s="274">
        <v>24</v>
      </c>
      <c r="B74" s="293"/>
      <c r="C74" s="293" t="s">
        <v>125</v>
      </c>
      <c r="D74" s="296" t="s">
        <v>81</v>
      </c>
      <c r="E74" s="295">
        <v>30</v>
      </c>
      <c r="F74" s="278" t="s">
        <v>126</v>
      </c>
      <c r="G74" s="295">
        <v>24</v>
      </c>
    </row>
    <row r="75" spans="1:7" ht="20.100000000000001" customHeight="1">
      <c r="A75" s="274">
        <v>25</v>
      </c>
      <c r="B75" s="293"/>
      <c r="C75" s="293" t="s">
        <v>127</v>
      </c>
      <c r="D75" s="296" t="s">
        <v>81</v>
      </c>
      <c r="E75" s="295">
        <v>31</v>
      </c>
      <c r="F75" s="278" t="s">
        <v>128</v>
      </c>
      <c r="G75" s="295">
        <v>25</v>
      </c>
    </row>
    <row r="76" spans="1:7" ht="20.100000000000001" customHeight="1">
      <c r="A76" s="274">
        <v>26</v>
      </c>
      <c r="B76" s="293"/>
      <c r="C76" s="293" t="s">
        <v>129</v>
      </c>
      <c r="D76" s="296" t="s">
        <v>81</v>
      </c>
      <c r="E76" s="295">
        <v>32</v>
      </c>
      <c r="F76" s="278" t="s">
        <v>130</v>
      </c>
      <c r="G76" s="295">
        <v>26</v>
      </c>
    </row>
    <row r="77" spans="1:7" ht="20.100000000000001" customHeight="1">
      <c r="A77" s="274">
        <v>27</v>
      </c>
      <c r="B77" s="293"/>
      <c r="C77" s="293" t="s">
        <v>131</v>
      </c>
      <c r="D77" s="296" t="s">
        <v>81</v>
      </c>
      <c r="E77" s="295">
        <v>33</v>
      </c>
      <c r="F77" s="278" t="s">
        <v>132</v>
      </c>
      <c r="G77" s="295">
        <v>27</v>
      </c>
    </row>
    <row r="78" spans="1:7" ht="20.100000000000001" customHeight="1">
      <c r="A78" s="274">
        <v>28</v>
      </c>
      <c r="B78" s="293"/>
      <c r="C78" s="293" t="s">
        <v>133</v>
      </c>
      <c r="D78" s="296" t="s">
        <v>81</v>
      </c>
      <c r="E78" s="295">
        <v>34</v>
      </c>
      <c r="F78" s="278" t="s">
        <v>134</v>
      </c>
      <c r="G78" s="295">
        <v>28</v>
      </c>
    </row>
    <row r="79" spans="1:7" ht="20.100000000000001" customHeight="1">
      <c r="A79" s="274">
        <v>29</v>
      </c>
      <c r="B79" s="293"/>
      <c r="C79" s="293" t="s">
        <v>135</v>
      </c>
      <c r="D79" s="296" t="s">
        <v>81</v>
      </c>
      <c r="E79" s="295">
        <v>35</v>
      </c>
      <c r="F79" s="278" t="s">
        <v>136</v>
      </c>
      <c r="G79" s="295">
        <v>29</v>
      </c>
    </row>
    <row r="80" spans="1:7" ht="20.100000000000001" customHeight="1">
      <c r="A80" s="274">
        <v>30</v>
      </c>
      <c r="B80" s="293"/>
      <c r="C80" s="293" t="s">
        <v>137</v>
      </c>
      <c r="D80" s="296" t="s">
        <v>81</v>
      </c>
      <c r="E80" s="295">
        <v>36</v>
      </c>
      <c r="F80" s="278" t="s">
        <v>138</v>
      </c>
      <c r="G80" s="295">
        <v>30</v>
      </c>
    </row>
    <row r="81" spans="1:7" ht="20.100000000000001" customHeight="1">
      <c r="A81" s="274">
        <v>31</v>
      </c>
      <c r="B81" s="293"/>
      <c r="C81" s="293" t="s">
        <v>139</v>
      </c>
      <c r="D81" s="296" t="s">
        <v>81</v>
      </c>
      <c r="E81" s="295">
        <v>37</v>
      </c>
      <c r="F81" s="278" t="s">
        <v>140</v>
      </c>
      <c r="G81" s="295">
        <v>31</v>
      </c>
    </row>
    <row r="82" spans="1:7" ht="20.100000000000001" customHeight="1">
      <c r="A82" s="274">
        <v>32</v>
      </c>
      <c r="B82" s="293"/>
      <c r="C82" s="293" t="s">
        <v>141</v>
      </c>
      <c r="D82" s="296" t="s">
        <v>81</v>
      </c>
      <c r="E82" s="295">
        <v>38</v>
      </c>
      <c r="F82" s="278" t="s">
        <v>142</v>
      </c>
      <c r="G82" s="295">
        <v>32</v>
      </c>
    </row>
    <row r="83" spans="1:7" ht="20.100000000000001" customHeight="1">
      <c r="A83" s="274">
        <v>33</v>
      </c>
      <c r="B83" s="293"/>
      <c r="C83" s="293" t="s">
        <v>143</v>
      </c>
      <c r="D83" s="296" t="s">
        <v>81</v>
      </c>
      <c r="E83" s="295">
        <v>39</v>
      </c>
      <c r="F83" s="278" t="s">
        <v>144</v>
      </c>
      <c r="G83" s="295">
        <v>33</v>
      </c>
    </row>
    <row r="84" spans="1:7" ht="20.100000000000001" customHeight="1">
      <c r="A84" s="274">
        <v>34</v>
      </c>
      <c r="B84" s="293"/>
      <c r="C84" s="293" t="s">
        <v>145</v>
      </c>
      <c r="D84" s="296" t="s">
        <v>81</v>
      </c>
      <c r="E84" s="295">
        <v>40</v>
      </c>
      <c r="F84" s="278" t="s">
        <v>146</v>
      </c>
      <c r="G84" s="295">
        <v>34</v>
      </c>
    </row>
    <row r="85" spans="1:7" ht="20.100000000000001" customHeight="1">
      <c r="A85" s="274">
        <v>35</v>
      </c>
      <c r="B85" s="293"/>
      <c r="C85" s="293" t="s">
        <v>147</v>
      </c>
      <c r="D85" s="296" t="s">
        <v>81</v>
      </c>
      <c r="E85" s="295">
        <v>41</v>
      </c>
      <c r="F85" s="278" t="s">
        <v>148</v>
      </c>
      <c r="G85" s="295">
        <v>35</v>
      </c>
    </row>
    <row r="86" spans="1:7" ht="20.100000000000001" customHeight="1">
      <c r="A86" s="274">
        <v>36</v>
      </c>
      <c r="B86" s="293"/>
      <c r="C86" s="293" t="s">
        <v>149</v>
      </c>
      <c r="D86" s="296" t="s">
        <v>81</v>
      </c>
      <c r="E86" s="295">
        <v>42</v>
      </c>
      <c r="F86" s="278" t="s">
        <v>150</v>
      </c>
      <c r="G86" s="295">
        <v>36</v>
      </c>
    </row>
    <row r="87" spans="1:7" ht="20.100000000000001" customHeight="1">
      <c r="A87" s="274">
        <v>37</v>
      </c>
      <c r="B87" s="293"/>
      <c r="C87" s="293" t="s">
        <v>151</v>
      </c>
      <c r="D87" s="296" t="s">
        <v>81</v>
      </c>
      <c r="E87" s="295">
        <v>43</v>
      </c>
      <c r="F87" s="278" t="s">
        <v>152</v>
      </c>
      <c r="G87" s="295">
        <v>37</v>
      </c>
    </row>
    <row r="88" spans="1:7" ht="20.100000000000001" customHeight="1">
      <c r="A88" s="274">
        <v>38</v>
      </c>
      <c r="B88" s="293"/>
      <c r="C88" s="293" t="s">
        <v>153</v>
      </c>
      <c r="D88" s="296" t="s">
        <v>81</v>
      </c>
      <c r="E88" s="295">
        <v>44</v>
      </c>
      <c r="F88" s="278" t="s">
        <v>154</v>
      </c>
      <c r="G88" s="295">
        <v>38</v>
      </c>
    </row>
    <row r="89" spans="1:7" ht="20.100000000000001" customHeight="1">
      <c r="A89" s="274">
        <v>39</v>
      </c>
      <c r="B89" s="293"/>
      <c r="C89" s="293" t="s">
        <v>155</v>
      </c>
      <c r="D89" s="296" t="s">
        <v>81</v>
      </c>
      <c r="E89" s="295">
        <v>45</v>
      </c>
      <c r="F89" s="278" t="s">
        <v>156</v>
      </c>
      <c r="G89" s="295">
        <v>39</v>
      </c>
    </row>
    <row r="90" spans="1:7" ht="20.100000000000001" customHeight="1">
      <c r="A90" s="274">
        <v>40</v>
      </c>
      <c r="B90" s="293"/>
      <c r="C90" s="293" t="s">
        <v>157</v>
      </c>
      <c r="D90" s="296" t="s">
        <v>81</v>
      </c>
      <c r="E90" s="295">
        <v>46</v>
      </c>
      <c r="F90" s="278" t="s">
        <v>158</v>
      </c>
      <c r="G90" s="295">
        <v>40</v>
      </c>
    </row>
    <row r="91" spans="1:7" ht="20.100000000000001" customHeight="1">
      <c r="A91" s="274">
        <v>41</v>
      </c>
      <c r="B91" s="293"/>
      <c r="C91" s="293" t="s">
        <v>159</v>
      </c>
      <c r="D91" s="296" t="s">
        <v>81</v>
      </c>
      <c r="E91" s="295">
        <v>47</v>
      </c>
      <c r="F91" s="278" t="s">
        <v>160</v>
      </c>
      <c r="G91" s="295">
        <v>41</v>
      </c>
    </row>
    <row r="92" spans="1:7" ht="20.100000000000001" customHeight="1">
      <c r="A92" s="274">
        <v>42</v>
      </c>
      <c r="B92" s="293"/>
      <c r="C92" s="293" t="s">
        <v>161</v>
      </c>
      <c r="D92" s="296" t="s">
        <v>81</v>
      </c>
      <c r="E92" s="295">
        <v>48</v>
      </c>
      <c r="F92" s="278" t="s">
        <v>162</v>
      </c>
      <c r="G92" s="295">
        <v>42</v>
      </c>
    </row>
    <row r="93" spans="1:7" ht="20.100000000000001" customHeight="1">
      <c r="A93" s="274">
        <v>43</v>
      </c>
      <c r="B93" s="293"/>
      <c r="C93" s="293" t="s">
        <v>163</v>
      </c>
      <c r="D93" s="296" t="s">
        <v>81</v>
      </c>
      <c r="E93" s="295">
        <v>49</v>
      </c>
      <c r="F93" s="278" t="s">
        <v>164</v>
      </c>
      <c r="G93" s="295">
        <v>43</v>
      </c>
    </row>
    <row r="94" spans="1:7" ht="20.100000000000001" customHeight="1">
      <c r="A94" s="274">
        <v>44</v>
      </c>
      <c r="B94" s="293"/>
      <c r="C94" s="293" t="s">
        <v>165</v>
      </c>
      <c r="D94" s="296" t="s">
        <v>81</v>
      </c>
      <c r="E94" s="295">
        <v>50</v>
      </c>
      <c r="F94" s="278" t="s">
        <v>166</v>
      </c>
      <c r="G94" s="295">
        <v>44</v>
      </c>
    </row>
    <row r="95" spans="1:7" ht="20.100000000000001" customHeight="1">
      <c r="A95" s="274">
        <v>45</v>
      </c>
      <c r="B95" s="293"/>
      <c r="C95" s="293" t="s">
        <v>167</v>
      </c>
      <c r="D95" s="296" t="s">
        <v>81</v>
      </c>
      <c r="E95" s="295">
        <v>51</v>
      </c>
      <c r="F95" s="278" t="s">
        <v>168</v>
      </c>
      <c r="G95" s="295">
        <v>45</v>
      </c>
    </row>
    <row r="96" spans="1:7" ht="20.100000000000001" customHeight="1">
      <c r="A96" s="274">
        <v>46</v>
      </c>
      <c r="B96" s="293"/>
      <c r="C96" s="293" t="s">
        <v>169</v>
      </c>
      <c r="D96" s="296" t="s">
        <v>81</v>
      </c>
      <c r="E96" s="295">
        <v>52</v>
      </c>
      <c r="F96" s="278" t="s">
        <v>170</v>
      </c>
      <c r="G96" s="295">
        <v>46</v>
      </c>
    </row>
    <row r="97" spans="1:8" customFormat="1" ht="20.100000000000001" customHeight="1">
      <c r="A97" s="274">
        <v>47</v>
      </c>
      <c r="B97" s="293"/>
      <c r="C97" s="293" t="s">
        <v>171</v>
      </c>
      <c r="D97" s="296" t="s">
        <v>81</v>
      </c>
      <c r="E97" s="295">
        <v>53</v>
      </c>
      <c r="F97" s="278" t="s">
        <v>172</v>
      </c>
      <c r="G97" s="295">
        <v>47</v>
      </c>
    </row>
    <row r="98" spans="1:8" customFormat="1" ht="20.100000000000001" customHeight="1">
      <c r="A98" s="274">
        <v>48</v>
      </c>
      <c r="B98" s="293"/>
      <c r="C98" s="293" t="s">
        <v>173</v>
      </c>
      <c r="D98" s="296" t="s">
        <v>81</v>
      </c>
      <c r="E98" s="295">
        <v>54</v>
      </c>
      <c r="F98" s="278" t="s">
        <v>174</v>
      </c>
      <c r="G98" s="295">
        <v>48</v>
      </c>
    </row>
    <row r="99" spans="1:8" customFormat="1" ht="20.100000000000001" customHeight="1">
      <c r="A99" s="274">
        <v>49</v>
      </c>
      <c r="B99" s="293"/>
      <c r="C99" s="293" t="s">
        <v>175</v>
      </c>
      <c r="D99" s="296" t="s">
        <v>81</v>
      </c>
      <c r="E99" s="295">
        <v>55</v>
      </c>
      <c r="F99" s="278" t="s">
        <v>176</v>
      </c>
      <c r="G99" s="295">
        <v>49</v>
      </c>
    </row>
    <row r="100" spans="1:8" customFormat="1" ht="20.100000000000001" customHeight="1">
      <c r="A100" s="274">
        <v>50</v>
      </c>
      <c r="B100" s="293"/>
      <c r="C100" s="293" t="s">
        <v>177</v>
      </c>
      <c r="D100" s="296" t="s">
        <v>81</v>
      </c>
      <c r="E100" s="295">
        <v>56</v>
      </c>
      <c r="F100" s="278" t="s">
        <v>178</v>
      </c>
      <c r="G100" s="295">
        <v>50</v>
      </c>
    </row>
    <row r="101" spans="1:8" customFormat="1" ht="20.100000000000001" customHeight="1">
      <c r="A101" s="274">
        <v>51</v>
      </c>
      <c r="B101" s="293"/>
      <c r="C101" s="293" t="s">
        <v>179</v>
      </c>
      <c r="D101" s="296" t="s">
        <v>81</v>
      </c>
      <c r="E101" s="295">
        <v>57</v>
      </c>
      <c r="F101" s="278" t="s">
        <v>180</v>
      </c>
      <c r="G101" s="295">
        <v>51</v>
      </c>
    </row>
    <row r="102" spans="1:8" customFormat="1" ht="20.100000000000001" customHeight="1">
      <c r="A102" s="274">
        <v>52</v>
      </c>
      <c r="B102" s="293"/>
      <c r="C102" s="293" t="s">
        <v>181</v>
      </c>
      <c r="D102" s="296" t="s">
        <v>81</v>
      </c>
      <c r="E102" s="295">
        <v>58</v>
      </c>
      <c r="F102" s="278" t="s">
        <v>182</v>
      </c>
      <c r="G102" s="295">
        <v>52</v>
      </c>
    </row>
    <row r="103" spans="1:8" customFormat="1" ht="20.100000000000001" customHeight="1">
      <c r="A103" s="274">
        <v>53</v>
      </c>
      <c r="B103" s="293"/>
      <c r="C103" s="293" t="s">
        <v>183</v>
      </c>
      <c r="D103" s="296" t="s">
        <v>81</v>
      </c>
      <c r="E103" s="295">
        <v>59</v>
      </c>
      <c r="F103" s="278" t="s">
        <v>184</v>
      </c>
      <c r="G103" s="295">
        <v>53</v>
      </c>
    </row>
    <row r="104" spans="1:8" customFormat="1" ht="20.100000000000001" customHeight="1">
      <c r="A104" s="274">
        <v>54</v>
      </c>
      <c r="B104" s="293"/>
      <c r="C104" s="293" t="s">
        <v>185</v>
      </c>
      <c r="D104" s="296" t="s">
        <v>81</v>
      </c>
      <c r="E104" s="295">
        <v>60</v>
      </c>
      <c r="F104" s="278" t="s">
        <v>186</v>
      </c>
      <c r="G104" s="295">
        <v>54</v>
      </c>
    </row>
    <row r="105" spans="1:8" customFormat="1" ht="20.100000000000001" customHeight="1">
      <c r="A105" s="274">
        <v>55</v>
      </c>
      <c r="B105" s="293"/>
      <c r="C105" s="293" t="s">
        <v>187</v>
      </c>
      <c r="D105" s="296" t="s">
        <v>81</v>
      </c>
      <c r="E105" s="295">
        <v>61</v>
      </c>
      <c r="F105" s="278" t="s">
        <v>188</v>
      </c>
      <c r="G105" s="295">
        <v>55</v>
      </c>
    </row>
    <row r="106" spans="1:8" customFormat="1" ht="20.100000000000001" customHeight="1">
      <c r="A106" s="274">
        <v>56</v>
      </c>
      <c r="B106" s="293"/>
      <c r="C106" s="293" t="s">
        <v>189</v>
      </c>
      <c r="D106" s="296" t="s">
        <v>81</v>
      </c>
      <c r="E106" s="295">
        <v>62</v>
      </c>
      <c r="F106" s="278" t="s">
        <v>190</v>
      </c>
      <c r="G106" s="295">
        <v>56</v>
      </c>
    </row>
    <row r="107" spans="1:8" customFormat="1" ht="20.100000000000001" customHeight="1">
      <c r="A107" s="274">
        <v>57</v>
      </c>
      <c r="B107" s="293"/>
      <c r="C107" s="293" t="s">
        <v>191</v>
      </c>
      <c r="D107" s="296" t="s">
        <v>81</v>
      </c>
      <c r="E107" s="295">
        <v>63</v>
      </c>
      <c r="F107" s="278" t="s">
        <v>192</v>
      </c>
      <c r="G107" s="295">
        <v>57</v>
      </c>
    </row>
    <row r="108" spans="1:8" customFormat="1" ht="20.100000000000001" customHeight="1">
      <c r="A108" s="274">
        <v>58</v>
      </c>
      <c r="B108" s="297"/>
      <c r="C108" s="298"/>
      <c r="D108" s="299"/>
      <c r="E108" s="292"/>
      <c r="F108" s="289"/>
    </row>
    <row r="109" spans="1:8" customFormat="1" ht="20.100000000000001" customHeight="1">
      <c r="A109" s="274">
        <v>59</v>
      </c>
      <c r="B109" s="297"/>
      <c r="C109" s="298"/>
      <c r="D109" s="299"/>
      <c r="E109" s="292"/>
      <c r="F109" s="289"/>
    </row>
    <row r="110" spans="1:8" ht="20.100000000000001" customHeight="1">
      <c r="A110" s="284"/>
      <c r="B110" s="300"/>
      <c r="C110" s="271" t="s">
        <v>0</v>
      </c>
      <c r="D110" s="271" t="s">
        <v>1</v>
      </c>
      <c r="E110" s="272" t="s">
        <v>2</v>
      </c>
      <c r="F110" s="273" t="s">
        <v>3</v>
      </c>
      <c r="G110" s="273" t="s">
        <v>4</v>
      </c>
      <c r="H110" s="268" t="s">
        <v>706</v>
      </c>
    </row>
    <row r="111" spans="1:8" ht="20.100000000000001" customHeight="1">
      <c r="A111" s="274">
        <v>1</v>
      </c>
      <c r="B111" s="301"/>
      <c r="C111" s="300" t="s">
        <v>193</v>
      </c>
      <c r="D111" s="302" t="s">
        <v>194</v>
      </c>
      <c r="E111" s="303">
        <v>8</v>
      </c>
      <c r="F111" s="278" t="s">
        <v>195</v>
      </c>
      <c r="G111" s="303">
        <v>1</v>
      </c>
    </row>
    <row r="112" spans="1:8" ht="20.100000000000001" customHeight="1">
      <c r="A112" s="274">
        <v>2</v>
      </c>
      <c r="B112" s="301"/>
      <c r="C112" s="300" t="s">
        <v>196</v>
      </c>
      <c r="D112" s="302" t="s">
        <v>197</v>
      </c>
      <c r="E112" s="303">
        <v>9</v>
      </c>
      <c r="F112" s="278" t="s">
        <v>198</v>
      </c>
      <c r="G112" s="303">
        <v>2</v>
      </c>
    </row>
    <row r="113" spans="1:7" ht="20.100000000000001" customHeight="1">
      <c r="A113" s="274">
        <v>3</v>
      </c>
      <c r="B113" s="301"/>
      <c r="C113" s="300" t="s">
        <v>199</v>
      </c>
      <c r="D113" s="302" t="s">
        <v>197</v>
      </c>
      <c r="E113" s="303">
        <v>10</v>
      </c>
      <c r="F113" s="278" t="s">
        <v>200</v>
      </c>
      <c r="G113" s="303">
        <v>3</v>
      </c>
    </row>
    <row r="114" spans="1:7" ht="20.100000000000001" customHeight="1">
      <c r="A114" s="274">
        <v>4</v>
      </c>
      <c r="B114" s="301"/>
      <c r="C114" s="300" t="s">
        <v>201</v>
      </c>
      <c r="D114" s="302" t="s">
        <v>197</v>
      </c>
      <c r="E114" s="303">
        <v>11</v>
      </c>
      <c r="F114" s="278" t="s">
        <v>202</v>
      </c>
      <c r="G114" s="303">
        <v>4</v>
      </c>
    </row>
    <row r="115" spans="1:7" ht="20.100000000000001" customHeight="1">
      <c r="A115" s="274">
        <v>5</v>
      </c>
      <c r="B115" s="301"/>
      <c r="C115" s="300" t="s">
        <v>203</v>
      </c>
      <c r="D115" s="302" t="s">
        <v>197</v>
      </c>
      <c r="E115" s="303">
        <v>12</v>
      </c>
      <c r="F115" s="278" t="s">
        <v>204</v>
      </c>
      <c r="G115" s="303">
        <v>5</v>
      </c>
    </row>
    <row r="116" spans="1:7" ht="20.100000000000001" customHeight="1">
      <c r="A116" s="274">
        <v>6</v>
      </c>
      <c r="B116" s="301"/>
      <c r="C116" s="300" t="s">
        <v>205</v>
      </c>
      <c r="D116" s="302" t="s">
        <v>197</v>
      </c>
      <c r="E116" s="303">
        <v>13</v>
      </c>
      <c r="F116" s="278" t="s">
        <v>206</v>
      </c>
      <c r="G116" s="303">
        <v>6</v>
      </c>
    </row>
    <row r="117" spans="1:7" ht="20.100000000000001" customHeight="1">
      <c r="A117" s="274">
        <v>7</v>
      </c>
      <c r="B117" s="301"/>
      <c r="C117" s="300" t="s">
        <v>207</v>
      </c>
      <c r="D117" s="302" t="s">
        <v>197</v>
      </c>
      <c r="E117" s="303">
        <v>14</v>
      </c>
      <c r="F117" s="278" t="s">
        <v>208</v>
      </c>
      <c r="G117" s="303">
        <v>7</v>
      </c>
    </row>
    <row r="118" spans="1:7" ht="20.100000000000001" customHeight="1">
      <c r="A118" s="274">
        <v>8</v>
      </c>
      <c r="B118" s="301"/>
      <c r="C118" s="300" t="s">
        <v>209</v>
      </c>
      <c r="D118" s="302" t="s">
        <v>197</v>
      </c>
      <c r="E118" s="303">
        <v>15</v>
      </c>
      <c r="F118" s="278" t="s">
        <v>210</v>
      </c>
      <c r="G118" s="303">
        <v>8</v>
      </c>
    </row>
    <row r="119" spans="1:7" ht="20.100000000000001" customHeight="1">
      <c r="A119" s="274">
        <v>9</v>
      </c>
      <c r="B119" s="301"/>
      <c r="C119" s="300" t="s">
        <v>211</v>
      </c>
      <c r="D119" s="302" t="s">
        <v>197</v>
      </c>
      <c r="E119" s="303">
        <v>16</v>
      </c>
      <c r="F119" s="278" t="s">
        <v>212</v>
      </c>
      <c r="G119" s="303">
        <v>9</v>
      </c>
    </row>
    <row r="120" spans="1:7" ht="20.100000000000001" customHeight="1">
      <c r="A120" s="274">
        <v>10</v>
      </c>
      <c r="B120" s="301"/>
      <c r="C120" s="300" t="s">
        <v>213</v>
      </c>
      <c r="D120" s="302" t="s">
        <v>214</v>
      </c>
      <c r="E120" s="303">
        <v>17</v>
      </c>
      <c r="F120" s="278" t="s">
        <v>215</v>
      </c>
      <c r="G120" s="303">
        <v>10</v>
      </c>
    </row>
    <row r="121" spans="1:7" ht="20.100000000000001" customHeight="1">
      <c r="A121" s="274">
        <v>11</v>
      </c>
      <c r="B121" s="301"/>
      <c r="C121" s="300" t="s">
        <v>216</v>
      </c>
      <c r="D121" s="302" t="s">
        <v>214</v>
      </c>
      <c r="E121" s="303">
        <v>18</v>
      </c>
      <c r="F121" s="278" t="s">
        <v>217</v>
      </c>
      <c r="G121" s="303">
        <v>11</v>
      </c>
    </row>
    <row r="122" spans="1:7" ht="20.100000000000001" customHeight="1">
      <c r="A122" s="274">
        <v>12</v>
      </c>
      <c r="B122" s="301"/>
      <c r="C122" s="300" t="s">
        <v>218</v>
      </c>
      <c r="D122" s="302" t="s">
        <v>197</v>
      </c>
      <c r="E122" s="303">
        <v>19</v>
      </c>
      <c r="F122" s="278" t="s">
        <v>219</v>
      </c>
      <c r="G122" s="303">
        <v>12</v>
      </c>
    </row>
    <row r="123" spans="1:7" ht="20.100000000000001" customHeight="1">
      <c r="A123" s="274">
        <v>13</v>
      </c>
      <c r="B123" s="301"/>
      <c r="C123" s="300" t="s">
        <v>220</v>
      </c>
      <c r="D123" s="302" t="s">
        <v>197</v>
      </c>
      <c r="E123" s="303">
        <v>20</v>
      </c>
      <c r="F123" s="278" t="s">
        <v>221</v>
      </c>
      <c r="G123" s="303">
        <v>13</v>
      </c>
    </row>
    <row r="124" spans="1:7" ht="20.100000000000001" customHeight="1">
      <c r="A124" s="274">
        <v>14</v>
      </c>
      <c r="B124" s="301"/>
      <c r="C124" s="300" t="s">
        <v>222</v>
      </c>
      <c r="D124" s="302" t="s">
        <v>197</v>
      </c>
      <c r="E124" s="303">
        <v>21</v>
      </c>
      <c r="F124" s="278" t="s">
        <v>223</v>
      </c>
      <c r="G124" s="303">
        <v>14</v>
      </c>
    </row>
    <row r="125" spans="1:7" ht="20.100000000000001" customHeight="1">
      <c r="A125" s="274">
        <v>15</v>
      </c>
      <c r="B125" s="301"/>
      <c r="C125" s="300" t="s">
        <v>224</v>
      </c>
      <c r="D125" s="302" t="s">
        <v>197</v>
      </c>
      <c r="E125" s="303">
        <v>22</v>
      </c>
      <c r="F125" s="278" t="s">
        <v>225</v>
      </c>
      <c r="G125" s="303">
        <v>15</v>
      </c>
    </row>
    <row r="126" spans="1:7" ht="20.100000000000001" customHeight="1">
      <c r="A126" s="274">
        <v>16</v>
      </c>
      <c r="B126" s="301"/>
      <c r="C126" s="300" t="s">
        <v>226</v>
      </c>
      <c r="D126" s="302" t="s">
        <v>197</v>
      </c>
      <c r="E126" s="303">
        <v>23</v>
      </c>
      <c r="F126" s="278" t="s">
        <v>227</v>
      </c>
      <c r="G126" s="303">
        <v>16</v>
      </c>
    </row>
    <row r="127" spans="1:7" ht="20.100000000000001" customHeight="1">
      <c r="A127" s="274">
        <v>17</v>
      </c>
      <c r="B127" s="301"/>
      <c r="C127" s="300" t="s">
        <v>228</v>
      </c>
      <c r="D127" s="302" t="s">
        <v>197</v>
      </c>
      <c r="E127" s="303">
        <v>24</v>
      </c>
      <c r="F127" s="278" t="s">
        <v>229</v>
      </c>
      <c r="G127" s="303">
        <v>17</v>
      </c>
    </row>
    <row r="128" spans="1:7" ht="20.100000000000001" customHeight="1">
      <c r="A128" s="274">
        <v>18</v>
      </c>
      <c r="B128" s="301"/>
      <c r="C128" s="300" t="s">
        <v>230</v>
      </c>
      <c r="D128" s="302" t="s">
        <v>197</v>
      </c>
      <c r="E128" s="303">
        <v>25</v>
      </c>
      <c r="F128" s="278" t="s">
        <v>231</v>
      </c>
      <c r="G128" s="303">
        <v>18</v>
      </c>
    </row>
    <row r="129" spans="1:7" ht="20.100000000000001" customHeight="1">
      <c r="A129" s="274">
        <v>19</v>
      </c>
      <c r="B129" s="301"/>
      <c r="C129" s="300" t="s">
        <v>232</v>
      </c>
      <c r="D129" s="302" t="s">
        <v>197</v>
      </c>
      <c r="E129" s="303">
        <v>26</v>
      </c>
      <c r="F129" s="278" t="s">
        <v>233</v>
      </c>
      <c r="G129" s="303">
        <v>19</v>
      </c>
    </row>
    <row r="130" spans="1:7" ht="20.100000000000001" customHeight="1">
      <c r="A130" s="274">
        <v>20</v>
      </c>
      <c r="B130" s="301"/>
      <c r="C130" s="300" t="s">
        <v>234</v>
      </c>
      <c r="D130" s="302" t="s">
        <v>197</v>
      </c>
      <c r="E130" s="303">
        <v>27</v>
      </c>
      <c r="F130" s="278" t="s">
        <v>235</v>
      </c>
      <c r="G130" s="303">
        <v>20</v>
      </c>
    </row>
    <row r="131" spans="1:7" ht="20.100000000000001" customHeight="1">
      <c r="A131" s="274">
        <v>21</v>
      </c>
      <c r="B131" s="301"/>
      <c r="C131" s="300" t="s">
        <v>236</v>
      </c>
      <c r="D131" s="302" t="s">
        <v>197</v>
      </c>
      <c r="E131" s="303">
        <v>28</v>
      </c>
      <c r="F131" s="278" t="s">
        <v>237</v>
      </c>
      <c r="G131" s="303">
        <v>21</v>
      </c>
    </row>
    <row r="132" spans="1:7" ht="20.100000000000001" customHeight="1">
      <c r="A132" s="274">
        <v>22</v>
      </c>
      <c r="B132" s="301"/>
      <c r="C132" s="300" t="s">
        <v>238</v>
      </c>
      <c r="D132" s="302" t="s">
        <v>197</v>
      </c>
      <c r="E132" s="303">
        <v>29</v>
      </c>
      <c r="F132" s="278" t="s">
        <v>239</v>
      </c>
      <c r="G132" s="303">
        <v>22</v>
      </c>
    </row>
    <row r="133" spans="1:7" ht="20.100000000000001" customHeight="1">
      <c r="A133" s="274">
        <v>23</v>
      </c>
      <c r="B133" s="301"/>
      <c r="C133" s="300" t="s">
        <v>240</v>
      </c>
      <c r="D133" s="302" t="s">
        <v>197</v>
      </c>
      <c r="E133" s="303">
        <v>30</v>
      </c>
      <c r="F133" s="278" t="s">
        <v>241</v>
      </c>
      <c r="G133" s="303">
        <v>23</v>
      </c>
    </row>
    <row r="134" spans="1:7" ht="20.100000000000001" customHeight="1">
      <c r="A134" s="274">
        <v>24</v>
      </c>
      <c r="B134" s="301"/>
      <c r="C134" s="300" t="s">
        <v>242</v>
      </c>
      <c r="D134" s="302" t="s">
        <v>197</v>
      </c>
      <c r="E134" s="303">
        <v>31</v>
      </c>
      <c r="F134" s="278" t="s">
        <v>243</v>
      </c>
      <c r="G134" s="303">
        <v>24</v>
      </c>
    </row>
    <row r="135" spans="1:7" ht="20.100000000000001" customHeight="1">
      <c r="A135" s="274">
        <v>25</v>
      </c>
      <c r="B135" s="301"/>
      <c r="C135" s="300" t="s">
        <v>244</v>
      </c>
      <c r="D135" s="302" t="s">
        <v>214</v>
      </c>
      <c r="E135" s="303">
        <v>32</v>
      </c>
      <c r="F135" s="278" t="s">
        <v>245</v>
      </c>
      <c r="G135" s="303">
        <v>25</v>
      </c>
    </row>
    <row r="136" spans="1:7" ht="20.100000000000001" customHeight="1">
      <c r="A136" s="274">
        <v>26</v>
      </c>
      <c r="B136" s="301"/>
      <c r="C136" s="300" t="s">
        <v>246</v>
      </c>
      <c r="D136" s="302" t="s">
        <v>214</v>
      </c>
      <c r="E136" s="303">
        <v>33</v>
      </c>
      <c r="F136" s="278" t="s">
        <v>247</v>
      </c>
      <c r="G136" s="303">
        <v>26</v>
      </c>
    </row>
    <row r="137" spans="1:7" ht="20.100000000000001" customHeight="1">
      <c r="A137" s="274">
        <v>27</v>
      </c>
      <c r="B137" s="301"/>
      <c r="C137" s="300" t="s">
        <v>248</v>
      </c>
      <c r="D137" s="302" t="s">
        <v>214</v>
      </c>
      <c r="E137" s="303">
        <v>34</v>
      </c>
      <c r="F137" s="278" t="s">
        <v>249</v>
      </c>
      <c r="G137" s="303">
        <v>27</v>
      </c>
    </row>
    <row r="138" spans="1:7" ht="20.100000000000001" customHeight="1">
      <c r="A138" s="274">
        <v>28</v>
      </c>
      <c r="B138" s="301"/>
      <c r="C138" s="300" t="s">
        <v>250</v>
      </c>
      <c r="D138" s="302" t="s">
        <v>197</v>
      </c>
      <c r="E138" s="303">
        <v>35</v>
      </c>
      <c r="F138" s="278" t="s">
        <v>251</v>
      </c>
      <c r="G138" s="303">
        <v>28</v>
      </c>
    </row>
    <row r="139" spans="1:7" ht="20.100000000000001" customHeight="1">
      <c r="A139" s="274">
        <v>29</v>
      </c>
      <c r="B139" s="301"/>
      <c r="C139" s="300" t="s">
        <v>252</v>
      </c>
      <c r="D139" s="302" t="s">
        <v>214</v>
      </c>
      <c r="E139" s="303">
        <v>36</v>
      </c>
      <c r="F139" s="278" t="s">
        <v>253</v>
      </c>
      <c r="G139" s="303">
        <v>29</v>
      </c>
    </row>
    <row r="140" spans="1:7" ht="20.100000000000001" customHeight="1">
      <c r="A140" s="274">
        <v>30</v>
      </c>
      <c r="B140" s="301"/>
      <c r="C140" s="300" t="s">
        <v>254</v>
      </c>
      <c r="D140" s="302" t="s">
        <v>214</v>
      </c>
      <c r="E140" s="303">
        <v>37</v>
      </c>
      <c r="F140" s="278" t="s">
        <v>255</v>
      </c>
      <c r="G140" s="303">
        <v>30</v>
      </c>
    </row>
    <row r="141" spans="1:7" ht="20.100000000000001" customHeight="1">
      <c r="A141" s="274">
        <v>31</v>
      </c>
      <c r="B141" s="301"/>
      <c r="C141" s="300" t="s">
        <v>256</v>
      </c>
      <c r="D141" s="302" t="s">
        <v>197</v>
      </c>
      <c r="E141" s="303">
        <v>38</v>
      </c>
      <c r="F141" s="278" t="s">
        <v>257</v>
      </c>
      <c r="G141" s="303">
        <v>31</v>
      </c>
    </row>
    <row r="142" spans="1:7" ht="20.100000000000001" customHeight="1">
      <c r="A142" s="274">
        <v>32</v>
      </c>
      <c r="B142" s="301"/>
      <c r="C142" s="300" t="s">
        <v>258</v>
      </c>
      <c r="D142" s="302" t="s">
        <v>259</v>
      </c>
      <c r="E142" s="303">
        <v>39</v>
      </c>
      <c r="F142" s="278" t="s">
        <v>260</v>
      </c>
      <c r="G142" s="303">
        <v>32</v>
      </c>
    </row>
    <row r="143" spans="1:7" ht="20.100000000000001" customHeight="1">
      <c r="A143" s="274">
        <v>33</v>
      </c>
      <c r="B143" s="301"/>
      <c r="C143" s="300" t="s">
        <v>261</v>
      </c>
      <c r="D143" s="302" t="s">
        <v>259</v>
      </c>
      <c r="E143" s="303">
        <v>40</v>
      </c>
      <c r="F143" s="278" t="s">
        <v>262</v>
      </c>
      <c r="G143" s="303">
        <v>33</v>
      </c>
    </row>
    <row r="144" spans="1:7" ht="20.100000000000001" customHeight="1">
      <c r="A144" s="274">
        <v>34</v>
      </c>
      <c r="B144" s="301"/>
      <c r="C144" s="300" t="s">
        <v>263</v>
      </c>
      <c r="D144" s="302" t="s">
        <v>197</v>
      </c>
      <c r="E144" s="303">
        <v>41</v>
      </c>
      <c r="F144" s="278" t="s">
        <v>264</v>
      </c>
      <c r="G144" s="303">
        <v>34</v>
      </c>
    </row>
    <row r="145" spans="1:7" ht="20.100000000000001" customHeight="1">
      <c r="A145" s="274">
        <v>35</v>
      </c>
      <c r="B145" s="301"/>
      <c r="C145" s="300" t="s">
        <v>265</v>
      </c>
      <c r="D145" s="302" t="s">
        <v>214</v>
      </c>
      <c r="E145" s="303">
        <v>42</v>
      </c>
      <c r="F145" s="278" t="s">
        <v>266</v>
      </c>
      <c r="G145" s="303">
        <v>35</v>
      </c>
    </row>
    <row r="146" spans="1:7" ht="20.100000000000001" customHeight="1">
      <c r="A146" s="274">
        <v>36</v>
      </c>
      <c r="B146" s="301"/>
      <c r="C146" s="300" t="s">
        <v>267</v>
      </c>
      <c r="D146" s="302" t="s">
        <v>214</v>
      </c>
      <c r="E146" s="303">
        <v>43</v>
      </c>
      <c r="F146" s="278" t="s">
        <v>268</v>
      </c>
      <c r="G146" s="303">
        <v>36</v>
      </c>
    </row>
    <row r="147" spans="1:7" ht="20.100000000000001" customHeight="1">
      <c r="A147" s="274">
        <v>37</v>
      </c>
      <c r="B147" s="301"/>
      <c r="C147" s="300" t="s">
        <v>269</v>
      </c>
      <c r="D147" s="302" t="s">
        <v>259</v>
      </c>
      <c r="E147" s="303">
        <v>44</v>
      </c>
      <c r="F147" s="278" t="s">
        <v>270</v>
      </c>
      <c r="G147" s="303">
        <v>37</v>
      </c>
    </row>
    <row r="148" spans="1:7" ht="20.100000000000001" customHeight="1">
      <c r="A148" s="274">
        <v>38</v>
      </c>
      <c r="B148" s="301"/>
      <c r="C148" s="300" t="s">
        <v>271</v>
      </c>
      <c r="D148" s="302" t="s">
        <v>259</v>
      </c>
      <c r="E148" s="303">
        <v>45</v>
      </c>
      <c r="F148" s="278" t="s">
        <v>272</v>
      </c>
      <c r="G148" s="303">
        <v>38</v>
      </c>
    </row>
    <row r="149" spans="1:7" ht="20.100000000000001" customHeight="1">
      <c r="A149" s="274">
        <v>39</v>
      </c>
      <c r="B149" s="301"/>
      <c r="C149" s="300" t="s">
        <v>273</v>
      </c>
      <c r="D149" s="302" t="s">
        <v>197</v>
      </c>
      <c r="E149" s="303">
        <v>46</v>
      </c>
      <c r="F149" s="278" t="s">
        <v>274</v>
      </c>
      <c r="G149" s="303">
        <v>39</v>
      </c>
    </row>
    <row r="150" spans="1:7" ht="20.100000000000001" customHeight="1">
      <c r="A150" s="274">
        <v>40</v>
      </c>
      <c r="B150" s="301"/>
      <c r="C150" s="300" t="s">
        <v>275</v>
      </c>
      <c r="D150" s="302" t="s">
        <v>197</v>
      </c>
      <c r="E150" s="303">
        <v>47</v>
      </c>
      <c r="F150" s="278" t="s">
        <v>276</v>
      </c>
      <c r="G150" s="303">
        <v>40</v>
      </c>
    </row>
    <row r="151" spans="1:7" ht="20.100000000000001" customHeight="1">
      <c r="A151" s="274">
        <v>41</v>
      </c>
      <c r="B151" s="301"/>
      <c r="C151" s="300" t="s">
        <v>277</v>
      </c>
      <c r="D151" s="302" t="s">
        <v>197</v>
      </c>
      <c r="E151" s="303">
        <v>48</v>
      </c>
      <c r="F151" s="278" t="s">
        <v>278</v>
      </c>
      <c r="G151" s="303">
        <v>41</v>
      </c>
    </row>
    <row r="152" spans="1:7" ht="20.100000000000001" customHeight="1">
      <c r="A152" s="274">
        <v>42</v>
      </c>
      <c r="B152" s="301"/>
      <c r="C152" s="300" t="s">
        <v>279</v>
      </c>
      <c r="D152" s="302" t="s">
        <v>197</v>
      </c>
      <c r="E152" s="303">
        <v>49</v>
      </c>
      <c r="F152" s="278" t="s">
        <v>280</v>
      </c>
      <c r="G152" s="303">
        <v>42</v>
      </c>
    </row>
    <row r="153" spans="1:7" ht="20.100000000000001" customHeight="1">
      <c r="A153" s="274">
        <v>43</v>
      </c>
      <c r="B153" s="301"/>
      <c r="C153" s="300" t="s">
        <v>281</v>
      </c>
      <c r="D153" s="302" t="s">
        <v>197</v>
      </c>
      <c r="E153" s="303">
        <v>50</v>
      </c>
      <c r="F153" s="278" t="s">
        <v>282</v>
      </c>
      <c r="G153" s="303">
        <v>43</v>
      </c>
    </row>
    <row r="154" spans="1:7" ht="20.100000000000001" customHeight="1">
      <c r="A154" s="274">
        <v>44</v>
      </c>
      <c r="B154" s="301"/>
      <c r="C154" s="300" t="s">
        <v>283</v>
      </c>
      <c r="D154" s="302" t="s">
        <v>197</v>
      </c>
      <c r="E154" s="303">
        <v>51</v>
      </c>
      <c r="F154" s="278" t="s">
        <v>284</v>
      </c>
      <c r="G154" s="303">
        <v>44</v>
      </c>
    </row>
    <row r="155" spans="1:7" ht="20.100000000000001" customHeight="1">
      <c r="A155" s="274">
        <v>45</v>
      </c>
      <c r="B155" s="301"/>
      <c r="C155" s="300" t="s">
        <v>285</v>
      </c>
      <c r="D155" s="302" t="s">
        <v>197</v>
      </c>
      <c r="E155" s="303">
        <v>52</v>
      </c>
      <c r="F155" s="278" t="s">
        <v>286</v>
      </c>
      <c r="G155" s="303">
        <v>45</v>
      </c>
    </row>
    <row r="156" spans="1:7" ht="20.100000000000001" customHeight="1">
      <c r="A156" s="274">
        <v>46</v>
      </c>
      <c r="B156" s="301"/>
      <c r="C156" s="300" t="s">
        <v>287</v>
      </c>
      <c r="D156" s="302" t="s">
        <v>214</v>
      </c>
      <c r="E156" s="303">
        <v>53</v>
      </c>
      <c r="F156" s="278" t="s">
        <v>288</v>
      </c>
      <c r="G156" s="303">
        <v>46</v>
      </c>
    </row>
    <row r="157" spans="1:7" ht="20.100000000000001" customHeight="1">
      <c r="A157" s="274">
        <v>47</v>
      </c>
      <c r="B157" s="301"/>
      <c r="C157" s="300" t="s">
        <v>289</v>
      </c>
      <c r="D157" s="302" t="s">
        <v>197</v>
      </c>
      <c r="E157" s="303">
        <v>54</v>
      </c>
      <c r="F157" s="278" t="s">
        <v>290</v>
      </c>
      <c r="G157" s="303">
        <v>47</v>
      </c>
    </row>
    <row r="158" spans="1:7" ht="20.100000000000001" customHeight="1">
      <c r="A158" s="274">
        <v>48</v>
      </c>
      <c r="B158" s="301"/>
      <c r="C158" s="300" t="s">
        <v>291</v>
      </c>
      <c r="D158" s="302" t="s">
        <v>197</v>
      </c>
      <c r="E158" s="303">
        <v>55</v>
      </c>
      <c r="F158" s="278" t="s">
        <v>292</v>
      </c>
      <c r="G158" s="303">
        <v>48</v>
      </c>
    </row>
    <row r="159" spans="1:7" ht="20.100000000000001" customHeight="1">
      <c r="A159" s="274">
        <v>49</v>
      </c>
      <c r="B159" s="301"/>
      <c r="C159" s="300" t="s">
        <v>293</v>
      </c>
      <c r="D159" s="302" t="s">
        <v>197</v>
      </c>
      <c r="E159" s="303">
        <v>56</v>
      </c>
      <c r="F159" s="278" t="s">
        <v>294</v>
      </c>
      <c r="G159" s="303">
        <v>49</v>
      </c>
    </row>
    <row r="160" spans="1:7" ht="20.100000000000001" customHeight="1">
      <c r="A160" s="274">
        <v>50</v>
      </c>
      <c r="B160" s="301"/>
      <c r="C160" s="300" t="s">
        <v>295</v>
      </c>
      <c r="D160" s="302" t="s">
        <v>197</v>
      </c>
      <c r="E160" s="303">
        <v>57</v>
      </c>
      <c r="F160" s="278" t="s">
        <v>296</v>
      </c>
      <c r="G160" s="303">
        <v>50</v>
      </c>
    </row>
    <row r="161" spans="1:7" ht="20.100000000000001" customHeight="1">
      <c r="A161" s="274">
        <v>51</v>
      </c>
      <c r="B161" s="301"/>
      <c r="C161" s="300" t="s">
        <v>297</v>
      </c>
      <c r="D161" s="302" t="s">
        <v>214</v>
      </c>
      <c r="E161" s="303">
        <v>58</v>
      </c>
      <c r="F161" s="278" t="s">
        <v>298</v>
      </c>
      <c r="G161" s="303">
        <v>51</v>
      </c>
    </row>
    <row r="162" spans="1:7" ht="20.100000000000001" customHeight="1">
      <c r="A162" s="274">
        <v>52</v>
      </c>
      <c r="B162" s="301"/>
      <c r="C162" s="300" t="s">
        <v>299</v>
      </c>
      <c r="D162" s="302" t="s">
        <v>259</v>
      </c>
      <c r="E162" s="303">
        <v>59</v>
      </c>
      <c r="F162" s="278" t="s">
        <v>300</v>
      </c>
      <c r="G162" s="303">
        <v>52</v>
      </c>
    </row>
    <row r="163" spans="1:7" ht="20.100000000000001" customHeight="1">
      <c r="A163" s="274">
        <v>53</v>
      </c>
      <c r="B163" s="301"/>
      <c r="C163" s="300" t="s">
        <v>301</v>
      </c>
      <c r="D163" s="302" t="s">
        <v>259</v>
      </c>
      <c r="E163" s="303">
        <v>60</v>
      </c>
      <c r="F163" s="278" t="s">
        <v>302</v>
      </c>
      <c r="G163" s="303">
        <v>53</v>
      </c>
    </row>
    <row r="164" spans="1:7" ht="20.100000000000001" customHeight="1">
      <c r="A164" s="274">
        <v>54</v>
      </c>
      <c r="B164" s="301"/>
      <c r="C164" s="300" t="s">
        <v>303</v>
      </c>
      <c r="D164" s="302" t="s">
        <v>259</v>
      </c>
      <c r="E164" s="303">
        <v>61</v>
      </c>
      <c r="F164" s="278" t="s">
        <v>304</v>
      </c>
      <c r="G164" s="303">
        <v>54</v>
      </c>
    </row>
    <row r="165" spans="1:7" ht="20.100000000000001" customHeight="1">
      <c r="A165" s="274">
        <v>55</v>
      </c>
      <c r="B165" s="301"/>
      <c r="C165" s="300" t="s">
        <v>305</v>
      </c>
      <c r="D165" s="302" t="s">
        <v>259</v>
      </c>
      <c r="E165" s="303">
        <v>62</v>
      </c>
      <c r="F165" s="278" t="s">
        <v>306</v>
      </c>
      <c r="G165" s="303">
        <v>55</v>
      </c>
    </row>
    <row r="166" spans="1:7" ht="20.100000000000001" customHeight="1">
      <c r="A166" s="274">
        <v>56</v>
      </c>
      <c r="B166" s="301"/>
      <c r="C166" s="300" t="s">
        <v>307</v>
      </c>
      <c r="D166" s="302" t="s">
        <v>259</v>
      </c>
      <c r="E166" s="303">
        <v>63</v>
      </c>
      <c r="F166" s="278" t="s">
        <v>308</v>
      </c>
      <c r="G166" s="303">
        <v>56</v>
      </c>
    </row>
    <row r="167" spans="1:7" ht="20.100000000000001" customHeight="1">
      <c r="A167" s="274">
        <v>57</v>
      </c>
      <c r="B167" s="301"/>
      <c r="C167" s="300" t="s">
        <v>309</v>
      </c>
      <c r="D167" s="302" t="s">
        <v>259</v>
      </c>
      <c r="E167" s="303">
        <v>64</v>
      </c>
      <c r="F167" s="278" t="s">
        <v>310</v>
      </c>
      <c r="G167" s="303">
        <v>57</v>
      </c>
    </row>
    <row r="168" spans="1:7" ht="20.100000000000001" customHeight="1">
      <c r="A168" s="274">
        <v>58</v>
      </c>
      <c r="B168" s="301"/>
      <c r="C168" s="300" t="s">
        <v>311</v>
      </c>
      <c r="D168" s="302" t="s">
        <v>259</v>
      </c>
      <c r="E168" s="303">
        <v>65</v>
      </c>
      <c r="F168" s="278" t="s">
        <v>312</v>
      </c>
      <c r="G168" s="303">
        <v>58</v>
      </c>
    </row>
    <row r="169" spans="1:7" ht="20.100000000000001" customHeight="1">
      <c r="A169" s="274">
        <v>59</v>
      </c>
      <c r="B169" s="301"/>
      <c r="C169" s="300" t="s">
        <v>313</v>
      </c>
      <c r="D169" s="302" t="s">
        <v>259</v>
      </c>
      <c r="E169" s="303">
        <v>66</v>
      </c>
      <c r="F169" s="278" t="s">
        <v>314</v>
      </c>
      <c r="G169" s="303">
        <v>59</v>
      </c>
    </row>
    <row r="170" spans="1:7" ht="20.100000000000001" customHeight="1">
      <c r="A170" s="274">
        <v>60</v>
      </c>
      <c r="B170" s="301"/>
      <c r="C170" s="300" t="s">
        <v>315</v>
      </c>
      <c r="D170" s="302" t="s">
        <v>259</v>
      </c>
      <c r="E170" s="303">
        <v>67</v>
      </c>
      <c r="F170" s="278" t="s">
        <v>316</v>
      </c>
      <c r="G170" s="303">
        <v>60</v>
      </c>
    </row>
    <row r="171" spans="1:7" ht="20.100000000000001" customHeight="1">
      <c r="A171" s="274">
        <v>61</v>
      </c>
      <c r="B171" s="301"/>
      <c r="C171" s="300" t="s">
        <v>317</v>
      </c>
      <c r="D171" s="302" t="s">
        <v>259</v>
      </c>
      <c r="E171" s="303">
        <v>68</v>
      </c>
      <c r="F171" s="278" t="s">
        <v>318</v>
      </c>
      <c r="G171" s="303">
        <v>61</v>
      </c>
    </row>
    <row r="172" spans="1:7" ht="20.100000000000001" customHeight="1">
      <c r="A172" s="274">
        <v>62</v>
      </c>
      <c r="B172" s="301"/>
      <c r="C172" s="300" t="s">
        <v>319</v>
      </c>
      <c r="D172" s="302" t="s">
        <v>259</v>
      </c>
      <c r="E172" s="303">
        <v>69</v>
      </c>
      <c r="F172" s="278" t="s">
        <v>320</v>
      </c>
      <c r="G172" s="303">
        <v>62</v>
      </c>
    </row>
    <row r="173" spans="1:7" ht="20.100000000000001" customHeight="1">
      <c r="A173" s="274">
        <v>63</v>
      </c>
      <c r="B173" s="301"/>
      <c r="C173" s="300" t="s">
        <v>321</v>
      </c>
      <c r="D173" s="302" t="s">
        <v>259</v>
      </c>
      <c r="E173" s="303">
        <v>70</v>
      </c>
      <c r="F173" s="278" t="s">
        <v>322</v>
      </c>
      <c r="G173" s="303">
        <v>63</v>
      </c>
    </row>
    <row r="174" spans="1:7" ht="20.100000000000001" customHeight="1">
      <c r="A174" s="274">
        <v>64</v>
      </c>
      <c r="B174" s="301"/>
      <c r="C174" s="300" t="s">
        <v>323</v>
      </c>
      <c r="D174" s="302" t="s">
        <v>259</v>
      </c>
      <c r="E174" s="303">
        <v>71</v>
      </c>
      <c r="F174" s="278" t="s">
        <v>324</v>
      </c>
      <c r="G174" s="303">
        <v>64</v>
      </c>
    </row>
    <row r="175" spans="1:7" ht="20.100000000000001" customHeight="1">
      <c r="A175" s="274">
        <v>65</v>
      </c>
      <c r="B175" s="301"/>
      <c r="C175" s="300" t="s">
        <v>325</v>
      </c>
      <c r="D175" s="302" t="s">
        <v>259</v>
      </c>
      <c r="E175" s="303">
        <v>72</v>
      </c>
      <c r="F175" s="278" t="s">
        <v>326</v>
      </c>
      <c r="G175" s="303">
        <v>65</v>
      </c>
    </row>
    <row r="176" spans="1:7" ht="20.100000000000001" customHeight="1">
      <c r="A176" s="274">
        <v>66</v>
      </c>
      <c r="B176" s="301"/>
      <c r="C176" s="300" t="s">
        <v>327</v>
      </c>
      <c r="D176" s="302" t="s">
        <v>259</v>
      </c>
      <c r="E176" s="303">
        <v>73</v>
      </c>
      <c r="F176" s="278" t="s">
        <v>328</v>
      </c>
      <c r="G176" s="303">
        <v>66</v>
      </c>
    </row>
    <row r="177" spans="1:7" ht="20.100000000000001" customHeight="1">
      <c r="A177" s="274">
        <v>67</v>
      </c>
      <c r="B177" s="301"/>
      <c r="C177" s="300" t="s">
        <v>329</v>
      </c>
      <c r="D177" s="304" t="s">
        <v>330</v>
      </c>
      <c r="E177" s="303">
        <v>74</v>
      </c>
      <c r="F177" s="278" t="s">
        <v>331</v>
      </c>
      <c r="G177" s="303">
        <v>67</v>
      </c>
    </row>
    <row r="178" spans="1:7" ht="20.100000000000001" customHeight="1">
      <c r="A178" s="274">
        <v>68</v>
      </c>
      <c r="B178" s="301"/>
      <c r="C178" s="300" t="s">
        <v>332</v>
      </c>
      <c r="D178" s="305" t="s">
        <v>214</v>
      </c>
      <c r="E178" s="303">
        <v>75</v>
      </c>
      <c r="F178" s="278" t="s">
        <v>333</v>
      </c>
      <c r="G178" s="303">
        <v>68</v>
      </c>
    </row>
    <row r="179" spans="1:7" ht="20.100000000000001" customHeight="1">
      <c r="A179" s="274">
        <v>69</v>
      </c>
      <c r="B179" s="301"/>
      <c r="C179" s="300" t="s">
        <v>334</v>
      </c>
      <c r="D179" s="305" t="s">
        <v>214</v>
      </c>
      <c r="E179" s="303">
        <v>76</v>
      </c>
      <c r="F179" s="278" t="s">
        <v>335</v>
      </c>
      <c r="G179" s="303">
        <v>69</v>
      </c>
    </row>
    <row r="180" spans="1:7" ht="20.100000000000001" customHeight="1">
      <c r="A180" s="274">
        <v>70</v>
      </c>
      <c r="B180" s="301"/>
      <c r="C180" s="300" t="s">
        <v>336</v>
      </c>
      <c r="D180" s="304" t="s">
        <v>330</v>
      </c>
      <c r="E180" s="303">
        <v>77</v>
      </c>
      <c r="F180" s="278" t="s">
        <v>337</v>
      </c>
      <c r="G180" s="303">
        <v>70</v>
      </c>
    </row>
    <row r="181" spans="1:7" ht="20.100000000000001" customHeight="1">
      <c r="A181" s="274">
        <v>71</v>
      </c>
      <c r="B181" s="301"/>
      <c r="C181" s="300" t="s">
        <v>338</v>
      </c>
      <c r="D181" s="304" t="s">
        <v>330</v>
      </c>
      <c r="E181" s="303">
        <v>78</v>
      </c>
      <c r="F181" s="278" t="s">
        <v>339</v>
      </c>
      <c r="G181" s="303">
        <v>71</v>
      </c>
    </row>
    <row r="182" spans="1:7" ht="20.100000000000001" customHeight="1">
      <c r="A182" s="274">
        <v>72</v>
      </c>
      <c r="B182" s="301"/>
      <c r="C182" s="300" t="s">
        <v>340</v>
      </c>
      <c r="D182" s="304" t="s">
        <v>330</v>
      </c>
      <c r="E182" s="303">
        <v>79</v>
      </c>
      <c r="F182" s="278" t="s">
        <v>341</v>
      </c>
      <c r="G182" s="303">
        <v>72</v>
      </c>
    </row>
    <row r="183" spans="1:7" ht="20.100000000000001" customHeight="1">
      <c r="A183" s="274">
        <v>1</v>
      </c>
      <c r="B183" s="301"/>
      <c r="C183" s="300" t="s">
        <v>342</v>
      </c>
      <c r="D183" s="302" t="s">
        <v>197</v>
      </c>
      <c r="E183" s="303">
        <v>80</v>
      </c>
      <c r="F183" s="278" t="s">
        <v>343</v>
      </c>
      <c r="G183" s="303">
        <v>73</v>
      </c>
    </row>
    <row r="184" spans="1:7" ht="20.100000000000001" customHeight="1">
      <c r="A184" s="274">
        <v>2</v>
      </c>
      <c r="B184" s="301"/>
      <c r="C184" s="300" t="s">
        <v>344</v>
      </c>
      <c r="D184" s="302" t="s">
        <v>197</v>
      </c>
      <c r="E184" s="303">
        <v>81</v>
      </c>
      <c r="F184" s="278" t="s">
        <v>345</v>
      </c>
      <c r="G184" s="303">
        <v>74</v>
      </c>
    </row>
    <row r="185" spans="1:7" ht="20.100000000000001" customHeight="1">
      <c r="A185" s="274">
        <v>3</v>
      </c>
      <c r="B185" s="301"/>
      <c r="C185" s="300" t="s">
        <v>346</v>
      </c>
      <c r="D185" s="302" t="s">
        <v>197</v>
      </c>
      <c r="E185" s="303">
        <v>82</v>
      </c>
      <c r="F185" s="278" t="s">
        <v>347</v>
      </c>
      <c r="G185" s="303">
        <v>75</v>
      </c>
    </row>
    <row r="186" spans="1:7" ht="20.100000000000001" customHeight="1">
      <c r="A186" s="274">
        <v>4</v>
      </c>
      <c r="B186" s="301"/>
      <c r="C186" s="300" t="s">
        <v>348</v>
      </c>
      <c r="D186" s="302" t="s">
        <v>197</v>
      </c>
      <c r="E186" s="303">
        <v>83</v>
      </c>
      <c r="F186" s="278" t="s">
        <v>349</v>
      </c>
      <c r="G186" s="303">
        <v>76</v>
      </c>
    </row>
    <row r="187" spans="1:7" ht="20.100000000000001" customHeight="1">
      <c r="A187" s="274">
        <v>5</v>
      </c>
      <c r="B187" s="301"/>
      <c r="C187" s="300" t="s">
        <v>350</v>
      </c>
      <c r="D187" s="302" t="s">
        <v>197</v>
      </c>
      <c r="E187" s="303">
        <v>84</v>
      </c>
      <c r="F187" s="278" t="s">
        <v>351</v>
      </c>
      <c r="G187" s="303">
        <v>77</v>
      </c>
    </row>
    <row r="188" spans="1:7" ht="20.100000000000001" customHeight="1">
      <c r="A188" s="274">
        <v>6</v>
      </c>
      <c r="B188" s="301"/>
      <c r="C188" s="300" t="s">
        <v>352</v>
      </c>
      <c r="D188" s="302" t="s">
        <v>197</v>
      </c>
      <c r="E188" s="303">
        <v>85</v>
      </c>
      <c r="F188" s="278" t="s">
        <v>353</v>
      </c>
      <c r="G188" s="303">
        <v>78</v>
      </c>
    </row>
    <row r="189" spans="1:7" ht="20.100000000000001" customHeight="1">
      <c r="A189" s="274">
        <v>7</v>
      </c>
      <c r="B189" s="301"/>
      <c r="C189" s="300" t="s">
        <v>354</v>
      </c>
      <c r="D189" s="302" t="s">
        <v>197</v>
      </c>
      <c r="E189" s="303">
        <v>86</v>
      </c>
      <c r="F189" s="278" t="s">
        <v>355</v>
      </c>
      <c r="G189" s="303">
        <v>79</v>
      </c>
    </row>
    <row r="190" spans="1:7" ht="20.100000000000001" customHeight="1">
      <c r="A190" s="274">
        <v>8</v>
      </c>
      <c r="B190" s="301"/>
      <c r="C190" s="300" t="s">
        <v>356</v>
      </c>
      <c r="D190" s="302" t="s">
        <v>214</v>
      </c>
      <c r="E190" s="303">
        <v>87</v>
      </c>
      <c r="F190" s="278" t="s">
        <v>357</v>
      </c>
      <c r="G190" s="303">
        <v>80</v>
      </c>
    </row>
    <row r="191" spans="1:7" ht="20.100000000000001" customHeight="1">
      <c r="A191" s="274">
        <v>9</v>
      </c>
      <c r="B191" s="301"/>
      <c r="C191" s="300" t="s">
        <v>358</v>
      </c>
      <c r="D191" s="302" t="s">
        <v>197</v>
      </c>
      <c r="E191" s="303">
        <v>88</v>
      </c>
      <c r="F191" s="278" t="s">
        <v>359</v>
      </c>
      <c r="G191" s="303">
        <v>81</v>
      </c>
    </row>
    <row r="192" spans="1:7" ht="20.100000000000001" customHeight="1">
      <c r="A192" s="274">
        <v>10</v>
      </c>
      <c r="B192" s="301"/>
      <c r="C192" s="300" t="s">
        <v>360</v>
      </c>
      <c r="D192" s="302" t="s">
        <v>197</v>
      </c>
      <c r="E192" s="303">
        <v>89</v>
      </c>
      <c r="F192" s="278" t="s">
        <v>361</v>
      </c>
      <c r="G192" s="303">
        <v>82</v>
      </c>
    </row>
    <row r="193" spans="1:7" ht="20.100000000000001" customHeight="1">
      <c r="A193" s="274">
        <v>11</v>
      </c>
      <c r="B193" s="301"/>
      <c r="C193" s="300" t="s">
        <v>362</v>
      </c>
      <c r="D193" s="302" t="s">
        <v>197</v>
      </c>
      <c r="E193" s="303">
        <v>90</v>
      </c>
      <c r="F193" s="278" t="s">
        <v>363</v>
      </c>
      <c r="G193" s="303">
        <v>83</v>
      </c>
    </row>
    <row r="194" spans="1:7" ht="20.100000000000001" customHeight="1">
      <c r="A194" s="274">
        <v>12</v>
      </c>
      <c r="B194" s="301"/>
      <c r="C194" s="300" t="s">
        <v>364</v>
      </c>
      <c r="D194" s="302" t="s">
        <v>197</v>
      </c>
      <c r="E194" s="303">
        <v>91</v>
      </c>
      <c r="F194" s="278" t="s">
        <v>365</v>
      </c>
      <c r="G194" s="303">
        <v>84</v>
      </c>
    </row>
    <row r="195" spans="1:7" ht="20.100000000000001" customHeight="1">
      <c r="A195" s="274">
        <v>13</v>
      </c>
      <c r="B195" s="301"/>
      <c r="C195" s="300" t="s">
        <v>366</v>
      </c>
      <c r="D195" s="302" t="s">
        <v>197</v>
      </c>
      <c r="E195" s="303">
        <v>92</v>
      </c>
      <c r="F195" s="278" t="s">
        <v>367</v>
      </c>
      <c r="G195" s="303">
        <v>85</v>
      </c>
    </row>
    <row r="196" spans="1:7" ht="20.100000000000001" customHeight="1">
      <c r="A196" s="274">
        <v>14</v>
      </c>
      <c r="B196" s="301"/>
      <c r="C196" s="300" t="s">
        <v>368</v>
      </c>
      <c r="D196" s="302" t="s">
        <v>197</v>
      </c>
      <c r="E196" s="303">
        <v>93</v>
      </c>
      <c r="F196" s="278" t="s">
        <v>369</v>
      </c>
      <c r="G196" s="303">
        <v>86</v>
      </c>
    </row>
    <row r="197" spans="1:7" ht="20.100000000000001" customHeight="1">
      <c r="A197" s="274">
        <v>15</v>
      </c>
      <c r="B197" s="301"/>
      <c r="C197" s="300" t="s">
        <v>370</v>
      </c>
      <c r="D197" s="302" t="s">
        <v>197</v>
      </c>
      <c r="E197" s="303">
        <v>94</v>
      </c>
      <c r="F197" s="278" t="s">
        <v>371</v>
      </c>
      <c r="G197" s="303">
        <v>87</v>
      </c>
    </row>
    <row r="198" spans="1:7" ht="20.100000000000001" customHeight="1">
      <c r="A198" s="274">
        <v>16</v>
      </c>
      <c r="B198" s="301"/>
      <c r="C198" s="300" t="s">
        <v>372</v>
      </c>
      <c r="D198" s="302" t="s">
        <v>259</v>
      </c>
      <c r="E198" s="303">
        <v>95</v>
      </c>
      <c r="F198" s="278" t="s">
        <v>373</v>
      </c>
      <c r="G198" s="303">
        <v>88</v>
      </c>
    </row>
    <row r="199" spans="1:7" ht="20.100000000000001" customHeight="1">
      <c r="A199" s="274">
        <v>17</v>
      </c>
      <c r="B199" s="301"/>
      <c r="C199" s="300" t="s">
        <v>374</v>
      </c>
      <c r="D199" s="302" t="s">
        <v>197</v>
      </c>
      <c r="E199" s="303">
        <v>96</v>
      </c>
      <c r="F199" s="278" t="s">
        <v>375</v>
      </c>
      <c r="G199" s="303">
        <v>89</v>
      </c>
    </row>
    <row r="200" spans="1:7" ht="20.100000000000001" customHeight="1">
      <c r="A200" s="274">
        <v>18</v>
      </c>
      <c r="B200" s="301"/>
      <c r="C200" s="300" t="s">
        <v>376</v>
      </c>
      <c r="D200" s="302" t="s">
        <v>259</v>
      </c>
      <c r="E200" s="303">
        <v>97</v>
      </c>
      <c r="F200" s="278" t="s">
        <v>377</v>
      </c>
      <c r="G200" s="303">
        <v>90</v>
      </c>
    </row>
    <row r="201" spans="1:7" ht="20.100000000000001" customHeight="1">
      <c r="A201" s="274">
        <v>19</v>
      </c>
      <c r="B201" s="301"/>
      <c r="C201" s="300" t="s">
        <v>378</v>
      </c>
      <c r="D201" s="302" t="s">
        <v>259</v>
      </c>
      <c r="E201" s="303">
        <v>98</v>
      </c>
      <c r="F201" s="278" t="s">
        <v>379</v>
      </c>
      <c r="G201" s="303">
        <v>91</v>
      </c>
    </row>
    <row r="202" spans="1:7" ht="20.100000000000001" customHeight="1">
      <c r="A202" s="274">
        <v>20</v>
      </c>
      <c r="B202" s="301"/>
      <c r="C202" s="300" t="s">
        <v>380</v>
      </c>
      <c r="D202" s="302" t="s">
        <v>259</v>
      </c>
      <c r="E202" s="303">
        <v>99</v>
      </c>
      <c r="F202" s="278" t="s">
        <v>381</v>
      </c>
      <c r="G202" s="303">
        <v>92</v>
      </c>
    </row>
    <row r="203" spans="1:7" ht="20.100000000000001" customHeight="1">
      <c r="A203" s="274">
        <v>21</v>
      </c>
      <c r="B203" s="301"/>
      <c r="C203" s="300" t="s">
        <v>382</v>
      </c>
      <c r="D203" s="302" t="s">
        <v>259</v>
      </c>
      <c r="E203" s="303">
        <v>100</v>
      </c>
      <c r="F203" s="278" t="s">
        <v>383</v>
      </c>
      <c r="G203" s="303">
        <v>93</v>
      </c>
    </row>
    <row r="204" spans="1:7" ht="20.100000000000001" customHeight="1">
      <c r="A204" s="274">
        <v>22</v>
      </c>
      <c r="B204" s="301"/>
      <c r="C204" s="300" t="s">
        <v>384</v>
      </c>
      <c r="D204" s="302" t="s">
        <v>259</v>
      </c>
      <c r="E204" s="303">
        <v>101</v>
      </c>
      <c r="F204" s="278" t="s">
        <v>385</v>
      </c>
      <c r="G204" s="303">
        <v>94</v>
      </c>
    </row>
    <row r="205" spans="1:7" ht="20.100000000000001" customHeight="1">
      <c r="A205" s="274">
        <v>23</v>
      </c>
      <c r="B205" s="301"/>
      <c r="C205" s="300" t="s">
        <v>386</v>
      </c>
      <c r="D205" s="302" t="s">
        <v>259</v>
      </c>
      <c r="E205" s="303">
        <v>102</v>
      </c>
      <c r="F205" s="278" t="s">
        <v>387</v>
      </c>
      <c r="G205" s="303">
        <v>95</v>
      </c>
    </row>
    <row r="206" spans="1:7" ht="20.100000000000001" customHeight="1">
      <c r="A206" s="274">
        <v>24</v>
      </c>
      <c r="B206" s="301"/>
      <c r="C206" s="300" t="s">
        <v>388</v>
      </c>
      <c r="D206" s="302" t="s">
        <v>197</v>
      </c>
      <c r="E206" s="303">
        <v>103</v>
      </c>
      <c r="F206" s="278" t="s">
        <v>389</v>
      </c>
      <c r="G206" s="303">
        <v>96</v>
      </c>
    </row>
    <row r="207" spans="1:7" ht="20.100000000000001" customHeight="1">
      <c r="A207" s="274">
        <v>25</v>
      </c>
      <c r="B207" s="306"/>
      <c r="C207" s="300" t="s">
        <v>390</v>
      </c>
      <c r="D207" s="302" t="s">
        <v>197</v>
      </c>
      <c r="E207" s="303">
        <v>104</v>
      </c>
      <c r="F207" s="278" t="s">
        <v>391</v>
      </c>
      <c r="G207" s="303">
        <v>97</v>
      </c>
    </row>
    <row r="208" spans="1:7" ht="20.100000000000001" customHeight="1">
      <c r="A208" s="274">
        <v>26</v>
      </c>
      <c r="B208" s="306"/>
      <c r="C208" s="300" t="s">
        <v>392</v>
      </c>
      <c r="D208" s="302" t="s">
        <v>197</v>
      </c>
      <c r="E208" s="303">
        <v>105</v>
      </c>
      <c r="F208" s="278" t="s">
        <v>393</v>
      </c>
      <c r="G208" s="303">
        <v>98</v>
      </c>
    </row>
    <row r="209" spans="1:7" ht="20.100000000000001" customHeight="1">
      <c r="A209" s="274">
        <v>27</v>
      </c>
      <c r="B209" s="306"/>
      <c r="C209" s="300" t="s">
        <v>394</v>
      </c>
      <c r="D209" s="302" t="s">
        <v>259</v>
      </c>
      <c r="E209" s="303">
        <v>106</v>
      </c>
      <c r="F209" s="278" t="s">
        <v>395</v>
      </c>
      <c r="G209" s="303">
        <v>99</v>
      </c>
    </row>
    <row r="210" spans="1:7" ht="20.100000000000001" customHeight="1">
      <c r="A210" s="274">
        <v>28</v>
      </c>
      <c r="B210" s="306"/>
      <c r="C210" s="307"/>
      <c r="D210" s="299"/>
      <c r="E210" s="308"/>
      <c r="F210" s="289"/>
    </row>
    <row r="211" spans="1:7" ht="20.100000000000001" customHeight="1">
      <c r="A211" s="274">
        <v>29</v>
      </c>
      <c r="B211" s="306"/>
      <c r="C211" s="307"/>
      <c r="D211" s="299"/>
      <c r="E211" s="308"/>
      <c r="F211" s="289"/>
    </row>
    <row r="212" spans="1:7" ht="20.100000000000001" customHeight="1">
      <c r="A212" s="274">
        <v>30</v>
      </c>
      <c r="B212" s="306"/>
      <c r="C212" s="307"/>
      <c r="D212" s="299"/>
      <c r="E212" s="308"/>
      <c r="F212" s="289"/>
    </row>
    <row r="213" spans="1:7" ht="20.100000000000001" customHeight="1">
      <c r="A213" s="274">
        <v>31</v>
      </c>
      <c r="B213" s="306"/>
      <c r="C213" s="307"/>
      <c r="D213" s="299"/>
      <c r="E213" s="308"/>
      <c r="F213" s="289"/>
    </row>
    <row r="214" spans="1:7" ht="20.100000000000001" customHeight="1">
      <c r="A214" s="274">
        <v>32</v>
      </c>
      <c r="B214" s="306"/>
      <c r="C214" s="307"/>
      <c r="D214" s="299"/>
      <c r="E214" s="308"/>
      <c r="F214" s="289"/>
    </row>
    <row r="215" spans="1:7" ht="20.100000000000001" customHeight="1">
      <c r="A215" s="274">
        <v>33</v>
      </c>
      <c r="B215" s="306"/>
      <c r="C215" s="307"/>
      <c r="D215" s="299"/>
      <c r="E215" s="308"/>
      <c r="F215" s="289"/>
    </row>
    <row r="216" spans="1:7" ht="20.100000000000001" customHeight="1">
      <c r="A216" s="274">
        <v>34</v>
      </c>
      <c r="B216" s="306"/>
      <c r="C216" s="307"/>
      <c r="D216" s="299"/>
      <c r="E216" s="308"/>
      <c r="F216" s="289"/>
    </row>
    <row r="217" spans="1:7" ht="20.100000000000001" customHeight="1">
      <c r="A217" s="274">
        <v>35</v>
      </c>
      <c r="B217" s="306"/>
      <c r="C217" s="307"/>
      <c r="D217" s="299"/>
      <c r="E217" s="308"/>
      <c r="F217" s="289"/>
    </row>
    <row r="218" spans="1:7" ht="20.100000000000001" customHeight="1">
      <c r="A218" s="274">
        <v>36</v>
      </c>
      <c r="B218" s="306"/>
      <c r="C218" s="307"/>
      <c r="D218" s="299"/>
      <c r="E218" s="308"/>
      <c r="F218" s="289"/>
    </row>
    <row r="219" spans="1:7" ht="20.100000000000001" customHeight="1">
      <c r="A219" s="274">
        <v>37</v>
      </c>
      <c r="B219" s="306"/>
      <c r="C219" s="307"/>
      <c r="D219" s="299"/>
      <c r="E219" s="308"/>
      <c r="F219" s="289"/>
    </row>
    <row r="220" spans="1:7" ht="20.100000000000001" customHeight="1">
      <c r="A220" s="274">
        <v>38</v>
      </c>
      <c r="B220" s="306"/>
      <c r="C220" s="307"/>
      <c r="D220" s="299"/>
      <c r="E220" s="308"/>
      <c r="F220" s="289"/>
    </row>
    <row r="221" spans="1:7" ht="20.100000000000001" customHeight="1">
      <c r="A221" s="274">
        <v>39</v>
      </c>
      <c r="B221" s="306"/>
      <c r="C221" s="307"/>
      <c r="D221" s="299"/>
      <c r="E221" s="308"/>
      <c r="F221" s="289"/>
    </row>
    <row r="222" spans="1:7" ht="20.100000000000001" customHeight="1">
      <c r="A222" s="274">
        <v>40</v>
      </c>
      <c r="B222" s="306"/>
      <c r="C222" s="307"/>
      <c r="D222" s="299"/>
      <c r="E222" s="308"/>
      <c r="F222" s="289"/>
    </row>
    <row r="223" spans="1:7" ht="20.100000000000001" customHeight="1">
      <c r="A223" s="274">
        <v>41</v>
      </c>
      <c r="B223" s="306"/>
      <c r="C223" s="307"/>
      <c r="D223" s="299"/>
      <c r="E223" s="308"/>
      <c r="F223" s="289"/>
    </row>
    <row r="224" spans="1:7" ht="20.100000000000001" customHeight="1">
      <c r="A224" s="274">
        <v>42</v>
      </c>
      <c r="B224" s="306"/>
      <c r="C224" s="307"/>
      <c r="D224" s="299"/>
      <c r="E224" s="308"/>
      <c r="F224" s="289"/>
    </row>
    <row r="225" spans="1:6" ht="20.100000000000001" customHeight="1">
      <c r="A225" s="274">
        <v>43</v>
      </c>
      <c r="B225" s="306"/>
      <c r="C225" s="307"/>
      <c r="D225" s="299"/>
      <c r="E225" s="308"/>
      <c r="F225" s="289"/>
    </row>
    <row r="226" spans="1:6" ht="20.100000000000001" customHeight="1">
      <c r="A226" s="274">
        <v>44</v>
      </c>
      <c r="B226" s="306"/>
      <c r="C226" s="307"/>
      <c r="D226" s="299"/>
      <c r="E226" s="308"/>
      <c r="F226" s="289"/>
    </row>
    <row r="227" spans="1:6" ht="20.100000000000001" customHeight="1">
      <c r="A227" s="274">
        <v>45</v>
      </c>
      <c r="B227" s="306"/>
      <c r="C227" s="307"/>
      <c r="D227" s="299"/>
      <c r="E227" s="308"/>
      <c r="F227" s="289"/>
    </row>
    <row r="228" spans="1:6" ht="20.100000000000001" customHeight="1">
      <c r="A228" s="274">
        <v>46</v>
      </c>
      <c r="B228" s="306"/>
      <c r="C228" s="307"/>
      <c r="D228" s="299"/>
      <c r="E228" s="308"/>
      <c r="F228" s="289"/>
    </row>
    <row r="229" spans="1:6" ht="20.100000000000001" customHeight="1">
      <c r="A229" s="274">
        <v>47</v>
      </c>
      <c r="B229" s="306"/>
      <c r="C229" s="307"/>
      <c r="D229" s="299"/>
      <c r="E229" s="308"/>
      <c r="F229" s="289"/>
    </row>
    <row r="230" spans="1:6" ht="20.100000000000001" customHeight="1">
      <c r="A230" s="274">
        <v>48</v>
      </c>
      <c r="B230" s="306"/>
      <c r="C230" s="307"/>
      <c r="D230" s="299"/>
      <c r="E230" s="308"/>
      <c r="F230" s="289"/>
    </row>
    <row r="231" spans="1:6" ht="20.100000000000001" customHeight="1">
      <c r="A231" s="274">
        <v>49</v>
      </c>
      <c r="B231" s="306"/>
      <c r="C231" s="307"/>
      <c r="D231" s="299"/>
      <c r="E231" s="308"/>
      <c r="F231" s="289"/>
    </row>
    <row r="232" spans="1:6" ht="20.100000000000001" customHeight="1">
      <c r="A232" s="274">
        <v>50</v>
      </c>
      <c r="B232" s="306"/>
      <c r="C232" s="307"/>
      <c r="D232" s="299"/>
      <c r="E232" s="308"/>
      <c r="F232" s="289"/>
    </row>
    <row r="233" spans="1:6" ht="20.100000000000001" customHeight="1">
      <c r="A233" s="274">
        <v>51</v>
      </c>
      <c r="B233" s="306"/>
      <c r="C233" s="307"/>
      <c r="D233" s="299"/>
      <c r="E233" s="308"/>
      <c r="F233" s="289"/>
    </row>
    <row r="234" spans="1:6" ht="20.100000000000001" customHeight="1">
      <c r="A234" s="274">
        <v>52</v>
      </c>
      <c r="B234" s="306"/>
      <c r="C234" s="307"/>
      <c r="D234" s="299"/>
      <c r="E234" s="308"/>
      <c r="F234" s="289"/>
    </row>
    <row r="235" spans="1:6" ht="20.100000000000001" customHeight="1">
      <c r="A235" s="274">
        <v>53</v>
      </c>
      <c r="B235" s="306"/>
      <c r="C235" s="307"/>
      <c r="D235" s="299"/>
      <c r="E235" s="308"/>
      <c r="F235" s="289"/>
    </row>
    <row r="236" spans="1:6" ht="20.100000000000001" customHeight="1">
      <c r="A236" s="274">
        <v>54</v>
      </c>
      <c r="B236" s="306"/>
      <c r="C236" s="307"/>
      <c r="D236" s="299"/>
      <c r="E236" s="308"/>
      <c r="F236" s="289"/>
    </row>
    <row r="237" spans="1:6" ht="20.100000000000001" customHeight="1">
      <c r="A237" s="274">
        <v>55</v>
      </c>
      <c r="B237" s="306"/>
      <c r="C237" s="307"/>
      <c r="D237" s="299"/>
      <c r="E237" s="308"/>
      <c r="F237" s="289"/>
    </row>
    <row r="238" spans="1:6" ht="20.100000000000001" customHeight="1">
      <c r="A238" s="274">
        <v>56</v>
      </c>
      <c r="B238" s="306"/>
      <c r="C238" s="307"/>
      <c r="D238" s="299"/>
      <c r="E238" s="308"/>
      <c r="F238" s="289"/>
    </row>
    <row r="239" spans="1:6" ht="20.100000000000001" customHeight="1">
      <c r="A239" s="274">
        <v>57</v>
      </c>
      <c r="B239" s="306"/>
      <c r="C239" s="307"/>
      <c r="D239" s="299"/>
      <c r="E239" s="308"/>
      <c r="F239" s="289"/>
    </row>
    <row r="240" spans="1:6" ht="20.100000000000001" customHeight="1">
      <c r="A240" s="274">
        <v>58</v>
      </c>
      <c r="B240" s="309"/>
      <c r="C240" s="307"/>
      <c r="D240" s="299"/>
      <c r="E240" s="308"/>
      <c r="F240" s="289"/>
    </row>
    <row r="241" spans="1:6" ht="20.100000000000001" customHeight="1">
      <c r="A241" s="274">
        <v>59</v>
      </c>
      <c r="B241" s="309"/>
      <c r="C241" s="307"/>
      <c r="D241" s="299"/>
      <c r="E241" s="308"/>
      <c r="F241" s="289"/>
    </row>
    <row r="242" spans="1:6" ht="20.100000000000001" customHeight="1">
      <c r="A242" s="274">
        <v>60</v>
      </c>
      <c r="B242" s="309"/>
      <c r="C242" s="307"/>
      <c r="D242" s="299"/>
      <c r="E242" s="308"/>
      <c r="F242" s="289"/>
    </row>
    <row r="243" spans="1:6" ht="20.100000000000001" customHeight="1">
      <c r="A243" s="274">
        <v>61</v>
      </c>
      <c r="B243" s="309"/>
      <c r="C243" s="310"/>
      <c r="D243" s="311"/>
      <c r="E243" s="308"/>
      <c r="F243" s="289"/>
    </row>
    <row r="244" spans="1:6" ht="20.100000000000001" customHeight="1">
      <c r="A244" s="274">
        <v>62</v>
      </c>
      <c r="B244" s="309"/>
      <c r="C244" s="310"/>
      <c r="D244" s="311"/>
      <c r="E244" s="308"/>
      <c r="F244" s="289"/>
    </row>
    <row r="245" spans="1:6" ht="20.100000000000001" customHeight="1">
      <c r="A245" s="274">
        <v>63</v>
      </c>
      <c r="B245" s="309"/>
      <c r="C245" s="310"/>
      <c r="D245" s="311"/>
      <c r="E245" s="308"/>
      <c r="F245" s="289"/>
    </row>
    <row r="246" spans="1:6" ht="20.100000000000001" customHeight="1">
      <c r="A246" s="274">
        <v>64</v>
      </c>
      <c r="B246" s="309"/>
      <c r="C246" s="310"/>
      <c r="D246" s="311"/>
      <c r="E246" s="308"/>
      <c r="F246" s="289"/>
    </row>
    <row r="247" spans="1:6" ht="20.100000000000001" customHeight="1">
      <c r="A247" s="274">
        <v>65</v>
      </c>
      <c r="B247" s="309"/>
      <c r="C247" s="310"/>
      <c r="D247" s="311"/>
      <c r="E247" s="308"/>
      <c r="F247" s="289"/>
    </row>
    <row r="248" spans="1:6" ht="20.100000000000001" customHeight="1">
      <c r="A248" s="274">
        <v>66</v>
      </c>
      <c r="B248" s="309"/>
      <c r="C248" s="310"/>
      <c r="D248" s="311"/>
      <c r="E248" s="308"/>
      <c r="F248" s="289"/>
    </row>
    <row r="249" spans="1:6" ht="20.100000000000001" customHeight="1">
      <c r="A249" s="274">
        <v>67</v>
      </c>
      <c r="B249" s="309"/>
      <c r="C249" s="310"/>
      <c r="D249" s="311"/>
      <c r="E249" s="308"/>
      <c r="F249" s="289"/>
    </row>
    <row r="250" spans="1:6" ht="20.100000000000001" customHeight="1">
      <c r="A250" s="274">
        <v>68</v>
      </c>
      <c r="B250" s="309"/>
      <c r="C250" s="310"/>
      <c r="D250" s="311"/>
      <c r="E250" s="308"/>
      <c r="F250" s="289"/>
    </row>
    <row r="251" spans="1:6">
      <c r="A251" s="312"/>
      <c r="B251" s="312"/>
      <c r="C251" s="312"/>
      <c r="D251" s="312"/>
      <c r="E251" s="313"/>
      <c r="F251" s="314"/>
    </row>
    <row r="252" spans="1:6">
      <c r="A252" s="312"/>
      <c r="B252" s="312"/>
      <c r="C252" s="312"/>
      <c r="D252" s="312"/>
      <c r="E252" s="313"/>
      <c r="F252" s="314"/>
    </row>
    <row r="253" spans="1:6">
      <c r="A253" s="312"/>
      <c r="B253" s="312"/>
      <c r="C253" s="312"/>
      <c r="D253" s="312"/>
      <c r="E253" s="313"/>
      <c r="F253" s="314"/>
    </row>
    <row r="254" spans="1:6">
      <c r="A254" s="314"/>
      <c r="B254" s="314"/>
      <c r="C254" s="314"/>
      <c r="D254" s="314"/>
      <c r="E254" s="313"/>
      <c r="F254" s="314"/>
    </row>
    <row r="255" spans="1:6">
      <c r="A255" s="314"/>
      <c r="B255" s="314"/>
      <c r="C255" s="314"/>
      <c r="D255" s="314"/>
      <c r="E255" s="313"/>
      <c r="F255" s="314"/>
    </row>
    <row r="256" spans="1:6">
      <c r="A256" s="314"/>
      <c r="B256" s="314"/>
      <c r="C256" s="314"/>
      <c r="D256" s="314"/>
      <c r="E256" s="313"/>
      <c r="F256" s="314"/>
    </row>
    <row r="257" spans="1:6">
      <c r="A257" s="314"/>
      <c r="B257" s="314"/>
      <c r="C257" s="314"/>
      <c r="D257" s="314"/>
      <c r="E257" s="313"/>
      <c r="F257" s="314"/>
    </row>
    <row r="258" spans="1:6">
      <c r="A258" s="314"/>
      <c r="B258" s="314"/>
      <c r="C258" s="314"/>
      <c r="D258" s="314"/>
      <c r="E258" s="313"/>
      <c r="F258" s="314"/>
    </row>
    <row r="259" spans="1:6">
      <c r="A259" s="314"/>
      <c r="B259" s="314"/>
      <c r="C259" s="314"/>
      <c r="D259" s="314"/>
      <c r="E259" s="313"/>
      <c r="F259" s="314"/>
    </row>
    <row r="260" spans="1:6">
      <c r="A260" s="314"/>
      <c r="B260" s="314"/>
      <c r="C260" s="314"/>
      <c r="D260" s="314"/>
      <c r="E260" s="313"/>
      <c r="F260" s="314"/>
    </row>
    <row r="261" spans="1:6">
      <c r="A261" s="314"/>
      <c r="B261" s="314"/>
      <c r="C261" s="314"/>
      <c r="D261" s="314"/>
      <c r="E261" s="313"/>
      <c r="F261" s="314"/>
    </row>
    <row r="262" spans="1:6">
      <c r="A262" s="314"/>
      <c r="B262" s="314"/>
      <c r="C262" s="314"/>
      <c r="D262" s="314"/>
      <c r="E262" s="313"/>
      <c r="F262" s="314"/>
    </row>
    <row r="263" spans="1:6">
      <c r="A263" s="314"/>
      <c r="B263" s="314"/>
      <c r="C263" s="314"/>
      <c r="D263" s="314"/>
      <c r="E263" s="313"/>
      <c r="F263" s="314"/>
    </row>
    <row r="264" spans="1:6">
      <c r="A264" s="314"/>
      <c r="B264" s="314"/>
      <c r="C264" s="314"/>
      <c r="D264" s="314"/>
      <c r="E264" s="313"/>
      <c r="F264" s="314"/>
    </row>
    <row r="265" spans="1:6">
      <c r="A265" s="314"/>
      <c r="B265" s="314"/>
      <c r="C265" s="314"/>
      <c r="D265" s="314"/>
      <c r="E265" s="313"/>
      <c r="F265" s="314"/>
    </row>
    <row r="266" spans="1:6">
      <c r="A266" s="314"/>
      <c r="B266" s="314"/>
      <c r="C266" s="314"/>
      <c r="D266" s="314"/>
      <c r="E266" s="313"/>
      <c r="F266" s="314"/>
    </row>
    <row r="267" spans="1:6">
      <c r="A267" s="314"/>
      <c r="B267" s="314"/>
      <c r="C267" s="314"/>
      <c r="D267" s="314"/>
      <c r="E267" s="313"/>
      <c r="F267" s="314"/>
    </row>
    <row r="268" spans="1:6">
      <c r="A268" s="314"/>
      <c r="B268" s="314"/>
      <c r="C268" s="314"/>
      <c r="D268" s="314"/>
      <c r="E268" s="313"/>
      <c r="F268" s="314"/>
    </row>
    <row r="269" spans="1:6">
      <c r="A269" s="314"/>
      <c r="B269" s="314"/>
      <c r="C269" s="314"/>
      <c r="D269" s="314"/>
      <c r="E269" s="313"/>
      <c r="F269" s="314"/>
    </row>
    <row r="270" spans="1:6">
      <c r="A270" s="314"/>
      <c r="B270" s="314"/>
      <c r="C270" s="314"/>
      <c r="D270" s="314"/>
      <c r="E270" s="313"/>
      <c r="F270" s="314"/>
    </row>
    <row r="271" spans="1:6">
      <c r="A271" s="314"/>
      <c r="B271" s="314"/>
      <c r="C271" s="314"/>
      <c r="D271" s="314"/>
      <c r="E271" s="313"/>
      <c r="F271" s="314"/>
    </row>
    <row r="272" spans="1:6">
      <c r="A272" s="314"/>
      <c r="B272" s="314"/>
      <c r="C272" s="314"/>
      <c r="D272" s="314"/>
      <c r="E272" s="313"/>
      <c r="F272" s="314"/>
    </row>
    <row r="273" spans="1:6">
      <c r="A273" s="314"/>
      <c r="B273" s="314"/>
      <c r="C273" s="314"/>
      <c r="D273" s="314"/>
      <c r="E273" s="313"/>
      <c r="F273" s="314"/>
    </row>
    <row r="274" spans="1:6">
      <c r="A274" s="314"/>
      <c r="B274" s="314"/>
      <c r="C274" s="314"/>
      <c r="D274" s="314"/>
      <c r="E274" s="313"/>
      <c r="F274" s="314"/>
    </row>
    <row r="275" spans="1:6">
      <c r="A275" s="314"/>
      <c r="B275" s="314"/>
      <c r="C275" s="314"/>
      <c r="D275" s="314"/>
      <c r="E275" s="313"/>
      <c r="F275" s="314"/>
    </row>
    <row r="276" spans="1:6">
      <c r="A276" s="314"/>
      <c r="B276" s="314"/>
      <c r="C276" s="314"/>
      <c r="D276" s="314"/>
      <c r="E276" s="313"/>
      <c r="F276" s="314"/>
    </row>
    <row r="277" spans="1:6">
      <c r="A277" s="314"/>
      <c r="B277" s="314"/>
      <c r="C277" s="314"/>
      <c r="D277" s="314"/>
      <c r="E277" s="313"/>
      <c r="F277" s="314"/>
    </row>
    <row r="278" spans="1:6">
      <c r="A278" s="314"/>
      <c r="B278" s="314"/>
      <c r="C278" s="314"/>
      <c r="D278" s="314"/>
      <c r="E278" s="313"/>
      <c r="F278" s="314"/>
    </row>
    <row r="279" spans="1:6">
      <c r="A279" s="314"/>
      <c r="B279" s="314"/>
      <c r="C279" s="314"/>
      <c r="D279" s="314"/>
      <c r="E279" s="313"/>
      <c r="F279" s="314"/>
    </row>
    <row r="280" spans="1:6">
      <c r="A280" s="314"/>
      <c r="B280" s="314"/>
      <c r="C280" s="314"/>
      <c r="D280" s="314"/>
      <c r="E280" s="313"/>
      <c r="F280" s="314"/>
    </row>
    <row r="281" spans="1:6">
      <c r="A281" s="314"/>
      <c r="B281" s="314"/>
      <c r="C281" s="314"/>
      <c r="D281" s="314"/>
      <c r="E281" s="313"/>
      <c r="F281" s="314"/>
    </row>
    <row r="282" spans="1:6">
      <c r="A282" s="314"/>
      <c r="B282" s="314"/>
      <c r="C282" s="314"/>
      <c r="D282" s="314"/>
      <c r="E282" s="313"/>
      <c r="F282" s="314"/>
    </row>
    <row r="283" spans="1:6">
      <c r="A283" s="314"/>
      <c r="B283" s="314"/>
      <c r="C283" s="314"/>
      <c r="D283" s="314"/>
      <c r="E283" s="313"/>
      <c r="F283" s="314"/>
    </row>
    <row r="284" spans="1:6">
      <c r="A284" s="314"/>
      <c r="B284" s="314"/>
      <c r="C284" s="314"/>
      <c r="D284" s="314"/>
      <c r="E284" s="313"/>
      <c r="F284" s="314"/>
    </row>
    <row r="285" spans="1:6">
      <c r="A285" s="314"/>
      <c r="B285" s="314"/>
      <c r="C285" s="314"/>
      <c r="D285" s="314"/>
      <c r="E285" s="313"/>
      <c r="F285" s="314"/>
    </row>
    <row r="286" spans="1:6">
      <c r="A286" s="314"/>
      <c r="B286" s="314"/>
      <c r="C286" s="314"/>
      <c r="D286" s="314"/>
      <c r="E286" s="313"/>
      <c r="F286" s="314"/>
    </row>
    <row r="287" spans="1:6">
      <c r="A287" s="314"/>
      <c r="B287" s="314"/>
      <c r="C287" s="314"/>
      <c r="D287" s="314"/>
      <c r="E287" s="313"/>
      <c r="F287" s="314"/>
    </row>
    <row r="288" spans="1:6">
      <c r="A288" s="314"/>
      <c r="B288" s="314"/>
      <c r="C288" s="314"/>
      <c r="D288" s="314"/>
      <c r="E288" s="313"/>
      <c r="F288" s="314"/>
    </row>
    <row r="289" spans="1:6">
      <c r="A289" s="314"/>
      <c r="B289" s="314"/>
      <c r="C289" s="314"/>
      <c r="D289" s="314"/>
      <c r="E289" s="313"/>
      <c r="F289" s="314"/>
    </row>
    <row r="290" spans="1:6">
      <c r="A290" s="314"/>
      <c r="B290" s="314"/>
      <c r="C290" s="314"/>
      <c r="D290" s="314"/>
      <c r="E290" s="313"/>
      <c r="F290" s="314"/>
    </row>
    <row r="291" spans="1:6">
      <c r="A291" s="314"/>
      <c r="B291" s="314"/>
      <c r="C291" s="314"/>
      <c r="D291" s="314"/>
      <c r="E291" s="313"/>
      <c r="F291" s="314"/>
    </row>
    <row r="292" spans="1:6">
      <c r="A292" s="314"/>
      <c r="B292" s="314"/>
      <c r="C292" s="314"/>
      <c r="D292" s="314"/>
      <c r="E292" s="313"/>
      <c r="F292" s="314"/>
    </row>
    <row r="293" spans="1:6">
      <c r="A293" s="314"/>
      <c r="B293" s="314"/>
      <c r="C293" s="314"/>
      <c r="D293" s="314"/>
      <c r="E293" s="313"/>
      <c r="F293" s="314"/>
    </row>
    <row r="294" spans="1:6">
      <c r="A294" s="314"/>
      <c r="B294" s="314"/>
      <c r="C294" s="314"/>
      <c r="D294" s="314"/>
      <c r="E294" s="313"/>
      <c r="F294" s="314"/>
    </row>
    <row r="295" spans="1:6">
      <c r="A295" s="314"/>
      <c r="B295" s="314"/>
      <c r="C295" s="314"/>
      <c r="D295" s="314"/>
      <c r="E295" s="313"/>
      <c r="F295" s="314"/>
    </row>
    <row r="296" spans="1:6">
      <c r="A296" s="314"/>
      <c r="B296" s="314"/>
      <c r="C296" s="314"/>
      <c r="D296" s="314"/>
      <c r="E296" s="313"/>
      <c r="F296" s="314"/>
    </row>
    <row r="297" spans="1:6">
      <c r="A297" s="314"/>
      <c r="B297" s="314"/>
      <c r="C297" s="314"/>
      <c r="D297" s="314"/>
      <c r="E297" s="313"/>
      <c r="F297" s="314"/>
    </row>
    <row r="298" spans="1:6">
      <c r="A298" s="314"/>
      <c r="B298" s="314"/>
      <c r="C298" s="314"/>
      <c r="D298" s="314"/>
      <c r="E298" s="313"/>
      <c r="F298" s="314"/>
    </row>
    <row r="299" spans="1:6">
      <c r="A299" s="314"/>
      <c r="B299" s="314"/>
      <c r="C299" s="314"/>
      <c r="D299" s="314"/>
      <c r="E299" s="313"/>
      <c r="F299" s="314"/>
    </row>
    <row r="300" spans="1:6">
      <c r="A300" s="314"/>
      <c r="B300" s="314"/>
      <c r="C300" s="314"/>
      <c r="D300" s="314"/>
      <c r="E300" s="313"/>
      <c r="F300" s="314"/>
    </row>
    <row r="301" spans="1:6">
      <c r="A301" s="314"/>
      <c r="B301" s="314"/>
      <c r="C301" s="314"/>
      <c r="D301" s="314"/>
      <c r="E301" s="313"/>
      <c r="F301" s="314"/>
    </row>
    <row r="302" spans="1:6">
      <c r="A302" s="314"/>
      <c r="B302" s="314"/>
      <c r="C302" s="314"/>
      <c r="D302" s="314"/>
      <c r="E302" s="313"/>
      <c r="F302" s="314"/>
    </row>
    <row r="303" spans="1:6">
      <c r="A303" s="314"/>
      <c r="B303" s="314"/>
      <c r="C303" s="314"/>
      <c r="D303" s="314"/>
      <c r="E303" s="313"/>
      <c r="F303" s="314"/>
    </row>
    <row r="304" spans="1:6">
      <c r="A304" s="314"/>
      <c r="B304" s="314"/>
      <c r="C304" s="314"/>
      <c r="D304" s="314"/>
      <c r="E304" s="313"/>
      <c r="F304" s="314"/>
    </row>
    <row r="305" spans="1:6">
      <c r="A305" s="314"/>
      <c r="B305" s="314"/>
      <c r="C305" s="314"/>
      <c r="D305" s="314"/>
      <c r="E305" s="313"/>
      <c r="F305" s="314"/>
    </row>
    <row r="306" spans="1:6">
      <c r="A306" s="314"/>
      <c r="B306" s="314"/>
      <c r="C306" s="314"/>
      <c r="D306" s="314"/>
      <c r="E306" s="313"/>
      <c r="F306" s="314"/>
    </row>
    <row r="307" spans="1:6">
      <c r="A307" s="314"/>
      <c r="B307" s="314"/>
      <c r="C307" s="314"/>
      <c r="D307" s="314"/>
      <c r="E307" s="313"/>
      <c r="F307" s="314"/>
    </row>
    <row r="308" spans="1:6">
      <c r="A308" s="314"/>
      <c r="B308" s="314"/>
      <c r="C308" s="314"/>
      <c r="D308" s="314"/>
      <c r="E308" s="313"/>
      <c r="F308" s="314"/>
    </row>
    <row r="309" spans="1:6">
      <c r="A309" s="314"/>
      <c r="B309" s="314"/>
      <c r="C309" s="314"/>
      <c r="D309" s="314"/>
      <c r="E309" s="313"/>
      <c r="F309" s="314"/>
    </row>
    <row r="310" spans="1:6">
      <c r="A310" s="314"/>
      <c r="B310" s="314"/>
      <c r="C310" s="314"/>
      <c r="D310" s="314"/>
      <c r="E310" s="313"/>
      <c r="F310" s="314"/>
    </row>
    <row r="311" spans="1:6">
      <c r="A311" s="314"/>
      <c r="B311" s="314"/>
      <c r="C311" s="314"/>
      <c r="D311" s="314"/>
      <c r="E311" s="313"/>
      <c r="F311" s="314"/>
    </row>
    <row r="312" spans="1:6">
      <c r="A312" s="314"/>
      <c r="B312" s="314"/>
      <c r="C312" s="314"/>
      <c r="D312" s="314"/>
      <c r="E312" s="313"/>
      <c r="F312" s="314"/>
    </row>
    <row r="313" spans="1:6">
      <c r="A313" s="314"/>
      <c r="B313" s="314"/>
      <c r="C313" s="314"/>
      <c r="D313" s="314"/>
      <c r="E313" s="313"/>
      <c r="F313" s="314"/>
    </row>
    <row r="314" spans="1:6">
      <c r="A314" s="314"/>
      <c r="B314" s="314"/>
      <c r="C314" s="314"/>
      <c r="D314" s="314"/>
      <c r="E314" s="313"/>
      <c r="F314" s="314"/>
    </row>
    <row r="315" spans="1:6">
      <c r="A315" s="314"/>
      <c r="B315" s="314"/>
      <c r="C315" s="314"/>
      <c r="D315" s="314"/>
      <c r="E315" s="313"/>
      <c r="F315" s="314"/>
    </row>
    <row r="316" spans="1:6">
      <c r="A316" s="314"/>
      <c r="B316" s="314"/>
      <c r="C316" s="314"/>
      <c r="D316" s="314"/>
      <c r="E316" s="313"/>
      <c r="F316" s="314"/>
    </row>
    <row r="317" spans="1:6">
      <c r="A317" s="314"/>
      <c r="B317" s="314"/>
      <c r="C317" s="314"/>
      <c r="D317" s="314"/>
      <c r="E317" s="313"/>
      <c r="F317" s="314"/>
    </row>
    <row r="318" spans="1:6">
      <c r="A318" s="314"/>
      <c r="B318" s="314"/>
      <c r="C318" s="314"/>
      <c r="D318" s="314"/>
      <c r="E318" s="313"/>
      <c r="F318" s="314"/>
    </row>
    <row r="319" spans="1:6">
      <c r="A319" s="314"/>
      <c r="B319" s="314"/>
      <c r="C319" s="314"/>
      <c r="D319" s="314"/>
      <c r="E319" s="313"/>
      <c r="F319" s="314"/>
    </row>
    <row r="320" spans="1:6">
      <c r="A320" s="314"/>
      <c r="B320" s="314"/>
      <c r="C320" s="314"/>
      <c r="D320" s="314"/>
      <c r="E320" s="313"/>
      <c r="F320" s="314"/>
    </row>
    <row r="321" spans="1:6">
      <c r="A321" s="314"/>
      <c r="B321" s="314"/>
      <c r="C321" s="314"/>
      <c r="D321" s="314"/>
      <c r="E321" s="313"/>
      <c r="F321" s="314"/>
    </row>
    <row r="322" spans="1:6">
      <c r="A322" s="314"/>
      <c r="B322" s="314"/>
      <c r="C322" s="314"/>
      <c r="D322" s="314"/>
      <c r="E322" s="313"/>
      <c r="F322" s="314"/>
    </row>
    <row r="323" spans="1:6">
      <c r="A323" s="314"/>
      <c r="B323" s="314"/>
      <c r="C323" s="314"/>
      <c r="D323" s="314"/>
      <c r="E323" s="313"/>
      <c r="F323" s="314"/>
    </row>
    <row r="324" spans="1:6">
      <c r="A324" s="314"/>
      <c r="B324" s="314"/>
      <c r="C324" s="314"/>
      <c r="D324" s="314"/>
      <c r="E324" s="313"/>
      <c r="F324" s="314"/>
    </row>
    <row r="325" spans="1:6">
      <c r="A325" s="314"/>
      <c r="B325" s="314"/>
      <c r="C325" s="314"/>
      <c r="D325" s="314"/>
      <c r="E325" s="313"/>
      <c r="F325" s="314"/>
    </row>
    <row r="326" spans="1:6">
      <c r="A326" s="314"/>
      <c r="B326" s="314"/>
      <c r="C326" s="314"/>
      <c r="D326" s="314"/>
      <c r="E326" s="313"/>
      <c r="F326" s="314"/>
    </row>
    <row r="327" spans="1:6">
      <c r="A327" s="314"/>
      <c r="B327" s="314"/>
      <c r="C327" s="314"/>
      <c r="D327" s="314"/>
      <c r="E327" s="313"/>
      <c r="F327" s="314"/>
    </row>
    <row r="328" spans="1:6">
      <c r="A328" s="314"/>
      <c r="B328" s="314"/>
      <c r="C328" s="314"/>
      <c r="D328" s="314"/>
      <c r="E328" s="313"/>
      <c r="F328" s="314"/>
    </row>
    <row r="329" spans="1:6">
      <c r="A329" s="314"/>
      <c r="B329" s="314"/>
      <c r="C329" s="314"/>
      <c r="D329" s="314"/>
      <c r="E329" s="313"/>
      <c r="F329" s="314"/>
    </row>
    <row r="330" spans="1:6">
      <c r="A330" s="314"/>
      <c r="B330" s="314"/>
      <c r="C330" s="314"/>
      <c r="D330" s="314"/>
      <c r="E330" s="313"/>
      <c r="F330" s="314"/>
    </row>
    <row r="331" spans="1:6">
      <c r="A331" s="314"/>
      <c r="B331" s="314"/>
      <c r="C331" s="314"/>
      <c r="D331" s="314"/>
      <c r="E331" s="313"/>
      <c r="F331" s="314"/>
    </row>
    <row r="332" spans="1:6">
      <c r="A332" s="314"/>
      <c r="B332" s="314"/>
      <c r="C332" s="314"/>
      <c r="D332" s="314"/>
      <c r="E332" s="313"/>
      <c r="F332" s="314"/>
    </row>
    <row r="333" spans="1:6">
      <c r="A333" s="314"/>
      <c r="B333" s="314"/>
      <c r="C333" s="314"/>
      <c r="D333" s="314"/>
      <c r="E333" s="313"/>
      <c r="F333" s="314"/>
    </row>
    <row r="334" spans="1:6">
      <c r="A334" s="314"/>
      <c r="B334" s="314"/>
      <c r="C334" s="314"/>
      <c r="D334" s="314"/>
      <c r="E334" s="313"/>
      <c r="F334" s="314"/>
    </row>
    <row r="335" spans="1:6">
      <c r="A335" s="314"/>
      <c r="B335" s="314"/>
      <c r="C335" s="314"/>
      <c r="D335" s="314"/>
      <c r="E335" s="313"/>
      <c r="F335" s="314"/>
    </row>
    <row r="336" spans="1:6">
      <c r="A336" s="314"/>
      <c r="B336" s="314"/>
      <c r="C336" s="314"/>
      <c r="D336" s="314"/>
      <c r="E336" s="313"/>
      <c r="F336" s="314"/>
    </row>
    <row r="337" spans="1:6">
      <c r="A337" s="314"/>
      <c r="B337" s="314"/>
      <c r="C337" s="314"/>
      <c r="D337" s="314"/>
      <c r="E337" s="313"/>
      <c r="F337" s="314"/>
    </row>
    <row r="338" spans="1:6">
      <c r="A338" s="314"/>
      <c r="B338" s="314"/>
      <c r="C338" s="314"/>
      <c r="D338" s="314"/>
      <c r="E338" s="313"/>
      <c r="F338" s="314"/>
    </row>
    <row r="339" spans="1:6">
      <c r="A339" s="314"/>
      <c r="B339" s="314"/>
      <c r="C339" s="314"/>
      <c r="D339" s="314"/>
      <c r="E339" s="313"/>
      <c r="F339" s="314"/>
    </row>
    <row r="340" spans="1:6">
      <c r="A340" s="314"/>
      <c r="B340" s="314"/>
      <c r="C340" s="314"/>
      <c r="D340" s="314"/>
      <c r="E340" s="313"/>
      <c r="F340" s="314"/>
    </row>
    <row r="341" spans="1:6">
      <c r="A341" s="314"/>
      <c r="B341" s="314"/>
      <c r="C341" s="314"/>
      <c r="D341" s="314"/>
      <c r="E341" s="313"/>
      <c r="F341" s="314"/>
    </row>
    <row r="342" spans="1:6">
      <c r="A342" s="314"/>
      <c r="B342" s="314"/>
      <c r="C342" s="314"/>
      <c r="D342" s="314"/>
      <c r="E342" s="313"/>
      <c r="F342" s="314"/>
    </row>
    <row r="343" spans="1:6">
      <c r="A343" s="314"/>
      <c r="B343" s="314"/>
      <c r="C343" s="314"/>
      <c r="D343" s="314"/>
      <c r="E343" s="313"/>
      <c r="F343" s="314"/>
    </row>
    <row r="344" spans="1:6">
      <c r="A344" s="314"/>
      <c r="B344" s="314"/>
      <c r="C344" s="314"/>
      <c r="D344" s="314"/>
      <c r="E344" s="313"/>
      <c r="F344" s="314"/>
    </row>
    <row r="345" spans="1:6">
      <c r="A345" s="314"/>
      <c r="B345" s="314"/>
      <c r="C345" s="314"/>
      <c r="D345" s="314"/>
      <c r="E345" s="313"/>
      <c r="F345" s="314"/>
    </row>
    <row r="346" spans="1:6">
      <c r="A346" s="314"/>
      <c r="B346" s="314"/>
      <c r="C346" s="314"/>
      <c r="D346" s="314"/>
      <c r="E346" s="313"/>
      <c r="F346" s="314"/>
    </row>
    <row r="347" spans="1:6">
      <c r="A347" s="314"/>
      <c r="B347" s="314"/>
      <c r="C347" s="314"/>
      <c r="D347" s="314"/>
      <c r="E347" s="313"/>
      <c r="F347" s="314"/>
    </row>
    <row r="348" spans="1:6">
      <c r="A348" s="314"/>
      <c r="B348" s="314"/>
      <c r="C348" s="314"/>
      <c r="D348" s="314"/>
      <c r="E348" s="313"/>
      <c r="F348" s="314"/>
    </row>
    <row r="349" spans="1:6">
      <c r="A349" s="314"/>
      <c r="B349" s="314"/>
      <c r="C349" s="314"/>
      <c r="D349" s="314"/>
      <c r="E349" s="313"/>
      <c r="F349" s="314"/>
    </row>
    <row r="350" spans="1:6">
      <c r="A350" s="314"/>
      <c r="B350" s="314"/>
      <c r="C350" s="314"/>
      <c r="D350" s="314"/>
      <c r="E350" s="313"/>
      <c r="F350" s="314"/>
    </row>
    <row r="351" spans="1:6">
      <c r="A351" s="314"/>
      <c r="B351" s="314"/>
      <c r="C351" s="314"/>
      <c r="D351" s="314"/>
      <c r="E351" s="313"/>
      <c r="F351" s="314"/>
    </row>
    <row r="352" spans="1:6">
      <c r="A352" s="314"/>
      <c r="B352" s="314"/>
      <c r="C352" s="314"/>
      <c r="D352" s="314"/>
      <c r="E352" s="313"/>
      <c r="F352" s="314"/>
    </row>
    <row r="353" spans="1:6">
      <c r="A353" s="314"/>
      <c r="B353" s="314"/>
      <c r="C353" s="314"/>
      <c r="D353" s="314"/>
      <c r="E353" s="313"/>
      <c r="F353" s="314"/>
    </row>
    <row r="354" spans="1:6">
      <c r="A354" s="314"/>
      <c r="B354" s="314"/>
      <c r="C354" s="314"/>
      <c r="D354" s="314"/>
      <c r="E354" s="313"/>
      <c r="F354" s="314"/>
    </row>
    <row r="355" spans="1:6">
      <c r="A355" s="314"/>
      <c r="B355" s="314"/>
      <c r="C355" s="314"/>
      <c r="D355" s="314"/>
      <c r="E355" s="313"/>
      <c r="F355" s="314"/>
    </row>
    <row r="356" spans="1:6">
      <c r="A356" s="314"/>
      <c r="B356" s="314"/>
      <c r="C356" s="314"/>
      <c r="D356" s="314"/>
      <c r="E356" s="313"/>
      <c r="F356" s="314"/>
    </row>
    <row r="357" spans="1:6">
      <c r="A357" s="314"/>
      <c r="B357" s="314"/>
      <c r="C357" s="314"/>
      <c r="D357" s="314"/>
      <c r="E357" s="313"/>
      <c r="F357" s="314"/>
    </row>
    <row r="358" spans="1:6">
      <c r="A358" s="314"/>
      <c r="B358" s="314"/>
      <c r="C358" s="314"/>
      <c r="D358" s="314"/>
      <c r="E358" s="313"/>
      <c r="F358" s="314"/>
    </row>
    <row r="359" spans="1:6">
      <c r="A359" s="314"/>
      <c r="B359" s="314"/>
      <c r="C359" s="314"/>
      <c r="D359" s="314"/>
      <c r="E359" s="313"/>
      <c r="F359" s="314"/>
    </row>
    <row r="360" spans="1:6">
      <c r="A360" s="314"/>
      <c r="B360" s="314"/>
      <c r="C360" s="314"/>
      <c r="D360" s="314"/>
      <c r="E360" s="313"/>
      <c r="F360" s="314"/>
    </row>
    <row r="361" spans="1:6">
      <c r="A361" s="314"/>
      <c r="B361" s="314"/>
      <c r="C361" s="314"/>
      <c r="D361" s="314"/>
      <c r="E361" s="313"/>
      <c r="F361" s="314"/>
    </row>
    <row r="362" spans="1:6">
      <c r="A362" s="314"/>
      <c r="B362" s="314"/>
      <c r="C362" s="314"/>
      <c r="D362" s="314"/>
      <c r="E362" s="313"/>
      <c r="F362" s="314"/>
    </row>
    <row r="363" spans="1:6">
      <c r="A363" s="314"/>
      <c r="B363" s="314"/>
      <c r="C363" s="314"/>
      <c r="D363" s="314"/>
      <c r="E363" s="313"/>
      <c r="F363" s="314"/>
    </row>
    <row r="364" spans="1:6">
      <c r="A364" s="314"/>
      <c r="B364" s="314"/>
      <c r="C364" s="314"/>
      <c r="D364" s="314"/>
      <c r="E364" s="313"/>
      <c r="F364" s="314"/>
    </row>
    <row r="365" spans="1:6">
      <c r="A365" s="314"/>
      <c r="B365" s="314"/>
      <c r="C365" s="314"/>
      <c r="D365" s="314"/>
      <c r="E365" s="313"/>
      <c r="F365" s="314"/>
    </row>
    <row r="366" spans="1:6">
      <c r="A366" s="314"/>
      <c r="B366" s="314"/>
      <c r="C366" s="314"/>
      <c r="D366" s="314"/>
      <c r="E366" s="313"/>
      <c r="F366" s="314"/>
    </row>
    <row r="367" spans="1:6">
      <c r="A367" s="314"/>
      <c r="B367" s="314"/>
      <c r="C367" s="314"/>
      <c r="D367" s="314"/>
      <c r="E367" s="313"/>
      <c r="F367" s="314"/>
    </row>
    <row r="368" spans="1:6">
      <c r="A368" s="314"/>
      <c r="B368" s="314"/>
      <c r="C368" s="314"/>
      <c r="D368" s="314"/>
      <c r="E368" s="313"/>
      <c r="F368" s="314"/>
    </row>
    <row r="369" spans="1:6">
      <c r="A369" s="314"/>
      <c r="B369" s="314"/>
      <c r="C369" s="314"/>
      <c r="D369" s="314"/>
      <c r="E369" s="313"/>
      <c r="F369" s="314"/>
    </row>
    <row r="370" spans="1:6">
      <c r="A370" s="314"/>
      <c r="B370" s="314"/>
      <c r="C370" s="314"/>
      <c r="D370" s="314"/>
      <c r="E370" s="313"/>
      <c r="F370" s="314"/>
    </row>
    <row r="371" spans="1:6">
      <c r="A371" s="314"/>
      <c r="B371" s="314"/>
      <c r="C371" s="314"/>
      <c r="D371" s="314"/>
      <c r="E371" s="313"/>
      <c r="F371" s="314"/>
    </row>
    <row r="372" spans="1:6">
      <c r="A372" s="314"/>
      <c r="B372" s="314"/>
      <c r="C372" s="314"/>
      <c r="D372" s="314"/>
      <c r="E372" s="313"/>
      <c r="F372" s="314"/>
    </row>
    <row r="373" spans="1:6">
      <c r="A373" s="314"/>
      <c r="B373" s="314"/>
      <c r="C373" s="314"/>
      <c r="D373" s="314"/>
      <c r="E373" s="313"/>
      <c r="F373" s="314"/>
    </row>
    <row r="374" spans="1:6">
      <c r="A374" s="314"/>
      <c r="B374" s="314"/>
      <c r="C374" s="314"/>
      <c r="D374" s="314"/>
      <c r="E374" s="313"/>
      <c r="F374" s="314"/>
    </row>
    <row r="375" spans="1:6">
      <c r="A375" s="314"/>
      <c r="B375" s="314"/>
      <c r="C375" s="314"/>
      <c r="D375" s="314"/>
      <c r="E375" s="313"/>
      <c r="F375" s="314"/>
    </row>
    <row r="376" spans="1:6">
      <c r="A376" s="314"/>
      <c r="B376" s="314"/>
      <c r="C376" s="314"/>
      <c r="D376" s="314"/>
      <c r="E376" s="313"/>
      <c r="F376" s="314"/>
    </row>
    <row r="377" spans="1:6">
      <c r="A377" s="314"/>
      <c r="B377" s="314"/>
      <c r="C377" s="314"/>
      <c r="D377" s="314"/>
      <c r="E377" s="313"/>
      <c r="F377" s="314"/>
    </row>
    <row r="378" spans="1:6">
      <c r="A378" s="314"/>
      <c r="B378" s="314"/>
      <c r="C378" s="314"/>
      <c r="D378" s="314"/>
      <c r="E378" s="313"/>
      <c r="F378" s="314"/>
    </row>
    <row r="379" spans="1:6">
      <c r="A379" s="314"/>
      <c r="B379" s="314"/>
      <c r="C379" s="314"/>
      <c r="D379" s="314"/>
      <c r="E379" s="313"/>
      <c r="F379" s="314"/>
    </row>
    <row r="380" spans="1:6">
      <c r="A380" s="314"/>
      <c r="B380" s="314"/>
      <c r="C380" s="314"/>
      <c r="D380" s="314"/>
      <c r="E380" s="313"/>
      <c r="F380" s="314"/>
    </row>
    <row r="381" spans="1:6">
      <c r="A381" s="314"/>
      <c r="B381" s="314"/>
      <c r="C381" s="314"/>
      <c r="D381" s="314"/>
      <c r="E381" s="313"/>
      <c r="F381" s="314"/>
    </row>
    <row r="382" spans="1:6">
      <c r="A382" s="314"/>
      <c r="B382" s="314"/>
      <c r="C382" s="314"/>
      <c r="D382" s="314"/>
      <c r="E382" s="313"/>
      <c r="F382" s="314"/>
    </row>
    <row r="383" spans="1:6">
      <c r="A383" s="314"/>
      <c r="B383" s="314"/>
      <c r="C383" s="314"/>
      <c r="D383" s="314"/>
      <c r="E383" s="313"/>
      <c r="F383" s="314"/>
    </row>
    <row r="384" spans="1:6">
      <c r="A384" s="314"/>
      <c r="B384" s="314"/>
      <c r="C384" s="314"/>
      <c r="D384" s="314"/>
      <c r="E384" s="313"/>
      <c r="F384" s="314"/>
    </row>
    <row r="385" spans="1:6">
      <c r="A385" s="314"/>
      <c r="B385" s="314"/>
      <c r="C385" s="314"/>
      <c r="D385" s="314"/>
      <c r="E385" s="313"/>
      <c r="F385" s="314"/>
    </row>
    <row r="386" spans="1:6">
      <c r="A386" s="314"/>
      <c r="B386" s="314"/>
      <c r="C386" s="314"/>
      <c r="D386" s="314"/>
      <c r="E386" s="313"/>
      <c r="F386" s="314"/>
    </row>
    <row r="387" spans="1:6">
      <c r="A387" s="314"/>
      <c r="B387" s="314"/>
      <c r="C387" s="314"/>
      <c r="D387" s="314"/>
      <c r="E387" s="313"/>
      <c r="F387" s="314"/>
    </row>
    <row r="388" spans="1:6">
      <c r="A388" s="314"/>
      <c r="B388" s="314"/>
      <c r="C388" s="314"/>
      <c r="D388" s="314"/>
      <c r="E388" s="313"/>
      <c r="F388" s="314"/>
    </row>
    <row r="389" spans="1:6">
      <c r="A389" s="314"/>
      <c r="B389" s="314"/>
      <c r="C389" s="314"/>
      <c r="D389" s="314"/>
      <c r="E389" s="313"/>
      <c r="F389" s="314"/>
    </row>
    <row r="390" spans="1:6">
      <c r="A390" s="314"/>
      <c r="B390" s="314"/>
      <c r="C390" s="314"/>
      <c r="D390" s="314"/>
      <c r="E390" s="313"/>
      <c r="F390" s="314"/>
    </row>
    <row r="391" spans="1:6">
      <c r="A391" s="314"/>
      <c r="B391" s="314"/>
      <c r="C391" s="314"/>
      <c r="D391" s="314"/>
      <c r="E391" s="313"/>
      <c r="F391" s="314"/>
    </row>
    <row r="392" spans="1:6">
      <c r="A392" s="314"/>
      <c r="B392" s="314"/>
      <c r="C392" s="314"/>
      <c r="D392" s="314"/>
      <c r="E392" s="313"/>
      <c r="F392" s="314"/>
    </row>
    <row r="393" spans="1:6">
      <c r="A393" s="314"/>
      <c r="B393" s="314"/>
      <c r="C393" s="314"/>
      <c r="D393" s="314"/>
      <c r="E393" s="313"/>
      <c r="F393" s="314"/>
    </row>
    <row r="394" spans="1:6">
      <c r="A394" s="314"/>
      <c r="B394" s="314"/>
      <c r="C394" s="314"/>
      <c r="D394" s="314"/>
      <c r="E394" s="313"/>
      <c r="F394" s="314"/>
    </row>
    <row r="395" spans="1:6">
      <c r="A395" s="314"/>
      <c r="B395" s="314"/>
      <c r="C395" s="314"/>
      <c r="D395" s="314"/>
      <c r="E395" s="313"/>
      <c r="F395" s="314"/>
    </row>
    <row r="396" spans="1:6">
      <c r="A396" s="314"/>
      <c r="B396" s="314"/>
      <c r="C396" s="314"/>
      <c r="D396" s="314"/>
      <c r="E396" s="313"/>
      <c r="F396" s="314"/>
    </row>
    <row r="397" spans="1:6">
      <c r="A397" s="314"/>
      <c r="B397" s="314"/>
      <c r="C397" s="314"/>
      <c r="D397" s="314"/>
      <c r="E397" s="313"/>
      <c r="F397" s="314"/>
    </row>
    <row r="398" spans="1:6">
      <c r="A398" s="314"/>
      <c r="B398" s="314"/>
      <c r="C398" s="314"/>
      <c r="D398" s="314"/>
      <c r="E398" s="313"/>
      <c r="F398" s="314"/>
    </row>
    <row r="399" spans="1:6">
      <c r="A399" s="314"/>
      <c r="B399" s="314"/>
      <c r="C399" s="314"/>
      <c r="D399" s="314"/>
      <c r="E399" s="313"/>
      <c r="F399" s="314"/>
    </row>
    <row r="400" spans="1:6">
      <c r="A400" s="314"/>
      <c r="B400" s="314"/>
      <c r="C400" s="314"/>
      <c r="D400" s="314"/>
      <c r="E400" s="313"/>
      <c r="F400" s="314"/>
    </row>
    <row r="401" spans="1:6">
      <c r="A401" s="314"/>
      <c r="B401" s="314"/>
      <c r="C401" s="314"/>
      <c r="D401" s="314"/>
      <c r="E401" s="313"/>
      <c r="F401" s="314"/>
    </row>
    <row r="402" spans="1:6">
      <c r="A402" s="314"/>
      <c r="B402" s="314"/>
      <c r="C402" s="314"/>
      <c r="D402" s="314"/>
      <c r="E402" s="313"/>
      <c r="F402" s="314"/>
    </row>
    <row r="403" spans="1:6">
      <c r="A403" s="314"/>
      <c r="B403" s="314"/>
      <c r="C403" s="314"/>
      <c r="D403" s="314"/>
      <c r="E403" s="313"/>
      <c r="F403" s="314"/>
    </row>
    <row r="404" spans="1:6">
      <c r="A404" s="314"/>
      <c r="B404" s="314"/>
      <c r="C404" s="314"/>
      <c r="D404" s="314"/>
      <c r="E404" s="313"/>
      <c r="F404" s="314"/>
    </row>
    <row r="405" spans="1:6">
      <c r="A405" s="314"/>
      <c r="B405" s="314"/>
      <c r="C405" s="314"/>
      <c r="D405" s="314"/>
      <c r="E405" s="313"/>
      <c r="F405" s="314"/>
    </row>
    <row r="406" spans="1:6">
      <c r="A406" s="314"/>
      <c r="B406" s="314"/>
      <c r="C406" s="314"/>
      <c r="D406" s="314"/>
      <c r="E406" s="313"/>
      <c r="F406" s="314"/>
    </row>
    <row r="407" spans="1:6">
      <c r="A407" s="314"/>
      <c r="B407" s="314"/>
      <c r="C407" s="314"/>
      <c r="D407" s="314"/>
      <c r="E407" s="313"/>
      <c r="F407" s="314"/>
    </row>
    <row r="408" spans="1:6">
      <c r="A408" s="314"/>
      <c r="B408" s="314"/>
      <c r="C408" s="314"/>
      <c r="D408" s="314"/>
      <c r="E408" s="313"/>
      <c r="F408" s="314"/>
    </row>
    <row r="409" spans="1:6">
      <c r="A409" s="314"/>
      <c r="B409" s="314"/>
      <c r="C409" s="314"/>
      <c r="D409" s="314"/>
      <c r="E409" s="313"/>
      <c r="F409" s="314"/>
    </row>
    <row r="410" spans="1:6">
      <c r="A410" s="314"/>
      <c r="B410" s="314"/>
      <c r="C410" s="314"/>
      <c r="D410" s="314"/>
      <c r="E410" s="313"/>
      <c r="F410" s="314"/>
    </row>
    <row r="411" spans="1:6">
      <c r="A411" s="314"/>
      <c r="B411" s="314"/>
      <c r="C411" s="314"/>
      <c r="D411" s="314"/>
      <c r="E411" s="313"/>
      <c r="F411" s="314"/>
    </row>
    <row r="412" spans="1:6">
      <c r="A412" s="314"/>
      <c r="B412" s="314"/>
      <c r="C412" s="314"/>
      <c r="D412" s="314"/>
      <c r="E412" s="313"/>
      <c r="F412" s="314"/>
    </row>
    <row r="413" spans="1:6">
      <c r="A413" s="314"/>
      <c r="B413" s="314"/>
      <c r="C413" s="314"/>
      <c r="D413" s="314"/>
      <c r="E413" s="313"/>
      <c r="F413" s="314"/>
    </row>
    <row r="414" spans="1:6">
      <c r="A414" s="314"/>
      <c r="B414" s="314"/>
      <c r="C414" s="314"/>
      <c r="D414" s="314"/>
      <c r="E414" s="313"/>
      <c r="F414" s="314"/>
    </row>
    <row r="415" spans="1:6">
      <c r="A415" s="314"/>
      <c r="B415" s="314"/>
      <c r="C415" s="314"/>
      <c r="D415" s="314"/>
      <c r="E415" s="313"/>
      <c r="F415" s="314"/>
    </row>
    <row r="416" spans="1:6">
      <c r="A416" s="314"/>
      <c r="B416" s="314"/>
      <c r="C416" s="314"/>
      <c r="D416" s="314"/>
      <c r="E416" s="313"/>
      <c r="F416" s="314"/>
    </row>
    <row r="417" spans="1:6">
      <c r="A417" s="314"/>
      <c r="B417" s="314"/>
      <c r="C417" s="314"/>
      <c r="D417" s="314"/>
      <c r="E417" s="313"/>
      <c r="F417" s="314"/>
    </row>
    <row r="418" spans="1:6">
      <c r="A418" s="314"/>
      <c r="B418" s="314"/>
      <c r="C418" s="314"/>
      <c r="D418" s="314"/>
      <c r="E418" s="313"/>
      <c r="F418" s="314"/>
    </row>
    <row r="419" spans="1:6">
      <c r="A419" s="314"/>
      <c r="B419" s="314"/>
      <c r="C419" s="314"/>
      <c r="D419" s="314"/>
      <c r="E419" s="313"/>
      <c r="F419" s="314"/>
    </row>
    <row r="420" spans="1:6">
      <c r="A420" s="314"/>
      <c r="B420" s="314"/>
      <c r="C420" s="314"/>
      <c r="D420" s="314"/>
      <c r="E420" s="313"/>
      <c r="F420" s="314"/>
    </row>
    <row r="421" spans="1:6">
      <c r="A421" s="314"/>
      <c r="B421" s="314"/>
      <c r="C421" s="314"/>
      <c r="D421" s="314"/>
      <c r="E421" s="313"/>
      <c r="F421" s="314"/>
    </row>
    <row r="422" spans="1:6">
      <c r="A422" s="314"/>
      <c r="B422" s="314"/>
      <c r="C422" s="314"/>
      <c r="D422" s="314"/>
      <c r="E422" s="313"/>
      <c r="F422" s="314"/>
    </row>
    <row r="423" spans="1:6">
      <c r="A423" s="314"/>
      <c r="B423" s="314"/>
      <c r="C423" s="314"/>
      <c r="D423" s="314"/>
      <c r="E423" s="313"/>
      <c r="F423" s="314"/>
    </row>
    <row r="424" spans="1:6">
      <c r="A424" s="314"/>
      <c r="B424" s="314"/>
      <c r="C424" s="314"/>
      <c r="D424" s="314"/>
      <c r="E424" s="313"/>
      <c r="F424" s="314"/>
    </row>
    <row r="425" spans="1:6">
      <c r="A425" s="314"/>
      <c r="B425" s="314"/>
      <c r="C425" s="314"/>
      <c r="D425" s="314"/>
      <c r="E425" s="313"/>
      <c r="F425" s="314"/>
    </row>
    <row r="426" spans="1:6">
      <c r="A426" s="314"/>
      <c r="B426" s="314"/>
      <c r="C426" s="314"/>
      <c r="D426" s="314"/>
      <c r="E426" s="313"/>
      <c r="F426" s="314"/>
    </row>
    <row r="427" spans="1:6">
      <c r="A427" s="314"/>
      <c r="B427" s="314"/>
      <c r="C427" s="314"/>
      <c r="D427" s="314"/>
      <c r="E427" s="313"/>
      <c r="F427" s="314"/>
    </row>
    <row r="428" spans="1:6">
      <c r="A428" s="314"/>
      <c r="B428" s="314"/>
      <c r="C428" s="314"/>
      <c r="D428" s="314"/>
      <c r="E428" s="313"/>
      <c r="F428" s="314"/>
    </row>
    <row r="429" spans="1:6">
      <c r="A429" s="314"/>
      <c r="B429" s="314"/>
      <c r="C429" s="314"/>
      <c r="D429" s="314"/>
      <c r="E429" s="313"/>
      <c r="F429" s="314"/>
    </row>
    <row r="430" spans="1:6">
      <c r="A430" s="314"/>
      <c r="B430" s="314"/>
      <c r="C430" s="314"/>
      <c r="D430" s="314"/>
      <c r="E430" s="313"/>
      <c r="F430" s="314"/>
    </row>
    <row r="431" spans="1:6">
      <c r="A431" s="314"/>
      <c r="B431" s="314"/>
      <c r="C431" s="314"/>
      <c r="D431" s="314"/>
      <c r="E431" s="313"/>
      <c r="F431" s="314"/>
    </row>
    <row r="432" spans="1:6">
      <c r="A432" s="314"/>
      <c r="B432" s="314"/>
      <c r="C432" s="314"/>
      <c r="D432" s="314"/>
      <c r="E432" s="313"/>
      <c r="F432" s="314"/>
    </row>
    <row r="433" spans="1:6">
      <c r="A433" s="314"/>
      <c r="B433" s="314"/>
      <c r="C433" s="314"/>
      <c r="D433" s="314"/>
      <c r="E433" s="313"/>
      <c r="F433" s="314"/>
    </row>
    <row r="434" spans="1:6">
      <c r="A434" s="314"/>
      <c r="B434" s="314"/>
      <c r="C434" s="314"/>
      <c r="D434" s="314"/>
      <c r="E434" s="313"/>
      <c r="F434" s="314"/>
    </row>
    <row r="435" spans="1:6">
      <c r="A435" s="314"/>
      <c r="B435" s="314"/>
      <c r="C435" s="314"/>
      <c r="D435" s="314"/>
      <c r="E435" s="313"/>
      <c r="F435" s="314"/>
    </row>
    <row r="436" spans="1:6">
      <c r="A436" s="314"/>
      <c r="B436" s="314"/>
      <c r="C436" s="314"/>
      <c r="D436" s="314"/>
      <c r="E436" s="313"/>
      <c r="F436" s="314"/>
    </row>
    <row r="437" spans="1:6">
      <c r="A437" s="314"/>
      <c r="B437" s="314"/>
      <c r="C437" s="314"/>
      <c r="D437" s="314"/>
      <c r="E437" s="313"/>
      <c r="F437" s="314"/>
    </row>
    <row r="438" spans="1:6">
      <c r="A438" s="314"/>
      <c r="B438" s="314"/>
      <c r="C438" s="314"/>
      <c r="D438" s="314"/>
      <c r="E438" s="313"/>
      <c r="F438" s="314"/>
    </row>
    <row r="439" spans="1:6">
      <c r="A439" s="314"/>
      <c r="B439" s="314"/>
      <c r="C439" s="314"/>
      <c r="D439" s="314"/>
      <c r="E439" s="313"/>
      <c r="F439" s="314"/>
    </row>
    <row r="440" spans="1:6">
      <c r="A440" s="314"/>
      <c r="B440" s="314"/>
      <c r="C440" s="314"/>
      <c r="D440" s="314"/>
      <c r="E440" s="313"/>
      <c r="F440" s="314"/>
    </row>
    <row r="441" spans="1:6">
      <c r="A441" s="314"/>
      <c r="B441" s="314"/>
      <c r="C441" s="314"/>
      <c r="D441" s="314"/>
      <c r="E441" s="313"/>
      <c r="F441" s="314"/>
    </row>
    <row r="442" spans="1:6">
      <c r="A442" s="314"/>
      <c r="B442" s="314"/>
      <c r="C442" s="314"/>
      <c r="D442" s="314"/>
      <c r="E442" s="313"/>
      <c r="F442" s="314"/>
    </row>
    <row r="443" spans="1:6">
      <c r="A443" s="314"/>
      <c r="B443" s="314"/>
      <c r="C443" s="314"/>
      <c r="D443" s="314"/>
      <c r="E443" s="313"/>
      <c r="F443" s="314"/>
    </row>
    <row r="444" spans="1:6">
      <c r="A444" s="314"/>
      <c r="B444" s="314"/>
      <c r="C444" s="314"/>
      <c r="D444" s="314"/>
      <c r="E444" s="313"/>
      <c r="F444" s="314"/>
    </row>
    <row r="445" spans="1:6">
      <c r="A445" s="314"/>
      <c r="B445" s="314"/>
      <c r="C445" s="314"/>
      <c r="D445" s="314"/>
      <c r="E445" s="313"/>
      <c r="F445" s="314"/>
    </row>
    <row r="446" spans="1:6">
      <c r="A446" s="314"/>
      <c r="B446" s="314"/>
      <c r="C446" s="314"/>
      <c r="D446" s="314"/>
      <c r="E446" s="313"/>
      <c r="F446" s="314"/>
    </row>
    <row r="447" spans="1:6">
      <c r="A447" s="314"/>
      <c r="B447" s="314"/>
      <c r="C447" s="314"/>
      <c r="D447" s="314"/>
      <c r="E447" s="313"/>
      <c r="F447" s="314"/>
    </row>
    <row r="448" spans="1:6">
      <c r="A448" s="314"/>
      <c r="B448" s="314"/>
      <c r="C448" s="314"/>
      <c r="D448" s="314"/>
      <c r="E448" s="313"/>
      <c r="F448" s="314"/>
    </row>
    <row r="449" spans="1:6">
      <c r="A449" s="314"/>
      <c r="B449" s="314"/>
      <c r="C449" s="314"/>
      <c r="D449" s="314"/>
      <c r="E449" s="313"/>
      <c r="F449" s="314"/>
    </row>
    <row r="450" spans="1:6">
      <c r="A450" s="314"/>
      <c r="B450" s="314"/>
      <c r="C450" s="314"/>
      <c r="D450" s="314"/>
      <c r="E450" s="313"/>
      <c r="F450" s="314"/>
    </row>
    <row r="451" spans="1:6">
      <c r="A451" s="314"/>
      <c r="B451" s="314"/>
      <c r="C451" s="314"/>
      <c r="D451" s="314"/>
      <c r="E451" s="313"/>
      <c r="F451" s="314"/>
    </row>
    <row r="452" spans="1:6">
      <c r="A452" s="314"/>
      <c r="B452" s="314"/>
      <c r="C452" s="314"/>
      <c r="D452" s="314"/>
      <c r="E452" s="313"/>
      <c r="F452" s="314"/>
    </row>
    <row r="453" spans="1:6">
      <c r="A453" s="314"/>
      <c r="B453" s="314"/>
      <c r="C453" s="314"/>
      <c r="D453" s="314"/>
      <c r="E453" s="313"/>
      <c r="F453" s="314"/>
    </row>
    <row r="454" spans="1:6">
      <c r="A454" s="314"/>
      <c r="B454" s="314"/>
      <c r="C454" s="314"/>
      <c r="D454" s="314"/>
      <c r="E454" s="313"/>
      <c r="F454" s="314"/>
    </row>
    <row r="455" spans="1:6">
      <c r="A455" s="314"/>
      <c r="B455" s="314"/>
      <c r="C455" s="314"/>
      <c r="D455" s="314"/>
      <c r="E455" s="313"/>
      <c r="F455" s="314"/>
    </row>
    <row r="456" spans="1:6">
      <c r="A456" s="314"/>
      <c r="B456" s="314"/>
      <c r="C456" s="314"/>
      <c r="D456" s="314"/>
      <c r="E456" s="313"/>
      <c r="F456" s="314"/>
    </row>
    <row r="457" spans="1:6">
      <c r="A457" s="314"/>
      <c r="B457" s="314"/>
      <c r="C457" s="314"/>
      <c r="D457" s="314"/>
      <c r="E457" s="313"/>
      <c r="F457" s="314"/>
    </row>
    <row r="458" spans="1:6">
      <c r="A458" s="314"/>
      <c r="B458" s="314"/>
      <c r="C458" s="314"/>
      <c r="D458" s="314"/>
      <c r="E458" s="313"/>
      <c r="F458" s="314"/>
    </row>
    <row r="459" spans="1:6">
      <c r="A459" s="314"/>
      <c r="B459" s="314"/>
      <c r="C459" s="314"/>
      <c r="D459" s="314"/>
      <c r="E459" s="313"/>
      <c r="F459" s="314"/>
    </row>
    <row r="460" spans="1:6">
      <c r="A460" s="314"/>
      <c r="B460" s="314"/>
      <c r="C460" s="314"/>
      <c r="D460" s="314"/>
      <c r="E460" s="313"/>
      <c r="F460" s="314"/>
    </row>
    <row r="461" spans="1:6">
      <c r="A461" s="314"/>
      <c r="B461" s="314"/>
      <c r="C461" s="314"/>
      <c r="D461" s="314"/>
      <c r="E461" s="313"/>
      <c r="F461" s="314"/>
    </row>
    <row r="462" spans="1:6">
      <c r="A462" s="314"/>
      <c r="B462" s="314"/>
      <c r="C462" s="314"/>
      <c r="D462" s="314"/>
      <c r="E462" s="313"/>
      <c r="F462" s="314"/>
    </row>
    <row r="463" spans="1:6">
      <c r="A463" s="314"/>
      <c r="B463" s="314"/>
      <c r="C463" s="314"/>
      <c r="D463" s="314"/>
      <c r="E463" s="313"/>
      <c r="F463" s="314"/>
    </row>
    <row r="464" spans="1:6">
      <c r="A464" s="314"/>
      <c r="B464" s="314"/>
      <c r="C464" s="314"/>
      <c r="D464" s="314"/>
      <c r="E464" s="313"/>
      <c r="F464" s="314"/>
    </row>
    <row r="465" spans="1:6">
      <c r="A465" s="314"/>
      <c r="B465" s="314"/>
      <c r="C465" s="314"/>
      <c r="D465" s="314"/>
      <c r="E465" s="313"/>
      <c r="F465" s="314"/>
    </row>
    <row r="466" spans="1:6">
      <c r="A466" s="314"/>
      <c r="B466" s="314"/>
      <c r="C466" s="314"/>
      <c r="D466" s="314"/>
      <c r="E466" s="313"/>
      <c r="F466" s="314"/>
    </row>
    <row r="467" spans="1:6">
      <c r="A467" s="314"/>
      <c r="B467" s="314"/>
      <c r="C467" s="314"/>
      <c r="D467" s="314"/>
      <c r="E467" s="313"/>
      <c r="F467" s="314"/>
    </row>
    <row r="468" spans="1:6">
      <c r="A468" s="314"/>
      <c r="B468" s="314"/>
      <c r="C468" s="314"/>
      <c r="D468" s="314"/>
      <c r="E468" s="313"/>
      <c r="F468" s="314"/>
    </row>
    <row r="469" spans="1:6">
      <c r="A469" s="314"/>
      <c r="B469" s="314"/>
      <c r="C469" s="314"/>
      <c r="D469" s="314"/>
      <c r="E469" s="313"/>
      <c r="F469" s="314"/>
    </row>
    <row r="470" spans="1:6">
      <c r="A470" s="314"/>
      <c r="B470" s="314"/>
      <c r="C470" s="314"/>
      <c r="D470" s="314"/>
      <c r="E470" s="313"/>
      <c r="F470" s="314"/>
    </row>
    <row r="471" spans="1:6">
      <c r="A471" s="314"/>
      <c r="B471" s="314"/>
      <c r="C471" s="314"/>
      <c r="D471" s="314"/>
      <c r="E471" s="313"/>
      <c r="F471" s="314"/>
    </row>
    <row r="472" spans="1:6">
      <c r="A472" s="314"/>
      <c r="B472" s="314"/>
      <c r="C472" s="314"/>
      <c r="D472" s="314"/>
      <c r="E472" s="313"/>
      <c r="F472" s="314"/>
    </row>
    <row r="473" spans="1:6">
      <c r="A473" s="314"/>
      <c r="B473" s="314"/>
      <c r="C473" s="314"/>
      <c r="D473" s="314"/>
      <c r="E473" s="313"/>
      <c r="F473" s="314"/>
    </row>
    <row r="474" spans="1:6">
      <c r="A474" s="314"/>
      <c r="B474" s="314"/>
      <c r="C474" s="314"/>
      <c r="D474" s="314"/>
      <c r="E474" s="313"/>
      <c r="F474" s="314"/>
    </row>
    <row r="475" spans="1:6">
      <c r="A475" s="314"/>
      <c r="B475" s="314"/>
      <c r="C475" s="314"/>
      <c r="D475" s="314"/>
      <c r="E475" s="313"/>
      <c r="F475" s="314"/>
    </row>
    <row r="476" spans="1:6">
      <c r="A476" s="314"/>
      <c r="B476" s="314"/>
      <c r="C476" s="314"/>
      <c r="D476" s="314"/>
      <c r="E476" s="313"/>
      <c r="F476" s="314"/>
    </row>
    <row r="477" spans="1:6">
      <c r="A477" s="314"/>
      <c r="B477" s="314"/>
      <c r="C477" s="314"/>
      <c r="D477" s="314"/>
      <c r="E477" s="313"/>
      <c r="F477" s="314"/>
    </row>
    <row r="478" spans="1:6">
      <c r="A478" s="314"/>
      <c r="B478" s="314"/>
      <c r="C478" s="314"/>
      <c r="D478" s="314"/>
      <c r="E478" s="313"/>
      <c r="F478" s="314"/>
    </row>
    <row r="479" spans="1:6">
      <c r="A479" s="314"/>
      <c r="B479" s="314"/>
      <c r="C479" s="314"/>
      <c r="D479" s="314"/>
      <c r="E479" s="313"/>
      <c r="F479" s="314"/>
    </row>
    <row r="480" spans="1:6">
      <c r="A480" s="314"/>
      <c r="B480" s="314"/>
      <c r="C480" s="314"/>
      <c r="D480" s="314"/>
      <c r="E480" s="313"/>
      <c r="F480" s="314"/>
    </row>
    <row r="481" spans="1:6">
      <c r="A481" s="314"/>
      <c r="B481" s="314"/>
      <c r="C481" s="314"/>
      <c r="D481" s="314"/>
      <c r="E481" s="313"/>
      <c r="F481" s="314"/>
    </row>
    <row r="482" spans="1:6">
      <c r="A482" s="314"/>
      <c r="B482" s="314"/>
      <c r="C482" s="314"/>
      <c r="D482" s="314"/>
      <c r="E482" s="313"/>
      <c r="F482" s="314"/>
    </row>
    <row r="483" spans="1:6">
      <c r="A483" s="314"/>
      <c r="B483" s="314"/>
      <c r="C483" s="314"/>
      <c r="D483" s="314"/>
      <c r="E483" s="313"/>
      <c r="F483" s="314"/>
    </row>
    <row r="484" spans="1:6">
      <c r="A484" s="314"/>
      <c r="B484" s="314"/>
      <c r="C484" s="314"/>
      <c r="D484" s="314"/>
      <c r="E484" s="313"/>
      <c r="F484" s="314"/>
    </row>
    <row r="485" spans="1:6">
      <c r="A485" s="314"/>
      <c r="B485" s="314"/>
      <c r="C485" s="314"/>
      <c r="D485" s="314"/>
      <c r="E485" s="313"/>
      <c r="F485" s="314"/>
    </row>
    <row r="486" spans="1:6">
      <c r="A486" s="314"/>
      <c r="B486" s="314"/>
      <c r="C486" s="314"/>
      <c r="D486" s="314"/>
      <c r="E486" s="313"/>
      <c r="F486" s="314"/>
    </row>
    <row r="487" spans="1:6">
      <c r="A487" s="314"/>
      <c r="B487" s="314"/>
      <c r="C487" s="314"/>
      <c r="D487" s="314"/>
      <c r="E487" s="313"/>
      <c r="F487" s="314"/>
    </row>
    <row r="488" spans="1:6">
      <c r="A488" s="314"/>
      <c r="B488" s="314"/>
      <c r="C488" s="314"/>
      <c r="D488" s="314"/>
      <c r="E488" s="313"/>
      <c r="F488" s="314"/>
    </row>
    <row r="489" spans="1:6">
      <c r="A489" s="314"/>
      <c r="B489" s="314"/>
      <c r="C489" s="314"/>
      <c r="D489" s="314"/>
      <c r="E489" s="313"/>
      <c r="F489" s="314"/>
    </row>
    <row r="490" spans="1:6">
      <c r="A490" s="314"/>
      <c r="B490" s="314"/>
      <c r="C490" s="314"/>
      <c r="D490" s="314"/>
      <c r="E490" s="313"/>
      <c r="F490" s="314"/>
    </row>
    <row r="491" spans="1:6">
      <c r="A491" s="314"/>
      <c r="B491" s="314"/>
      <c r="C491" s="314"/>
      <c r="D491" s="314"/>
      <c r="E491" s="313"/>
      <c r="F491" s="314"/>
    </row>
    <row r="492" spans="1:6">
      <c r="A492" s="314"/>
      <c r="B492" s="314"/>
      <c r="C492" s="314"/>
      <c r="D492" s="314"/>
      <c r="E492" s="313"/>
      <c r="F492" s="314"/>
    </row>
    <row r="493" spans="1:6">
      <c r="A493" s="314"/>
      <c r="B493" s="314"/>
      <c r="C493" s="314"/>
      <c r="D493" s="314"/>
      <c r="E493" s="313"/>
      <c r="F493" s="314"/>
    </row>
    <row r="494" spans="1:6">
      <c r="A494" s="314"/>
      <c r="B494" s="314"/>
      <c r="C494" s="314"/>
      <c r="D494" s="314"/>
      <c r="E494" s="313"/>
      <c r="F494" s="314"/>
    </row>
    <row r="495" spans="1:6">
      <c r="A495" s="314"/>
      <c r="B495" s="314"/>
      <c r="C495" s="314"/>
      <c r="D495" s="314"/>
      <c r="E495" s="313"/>
      <c r="F495" s="314"/>
    </row>
    <row r="496" spans="1:6">
      <c r="A496" s="314"/>
      <c r="B496" s="314"/>
      <c r="C496" s="314"/>
      <c r="D496" s="314"/>
      <c r="E496" s="313"/>
      <c r="F496" s="314"/>
    </row>
    <row r="497" spans="1:6">
      <c r="A497" s="314"/>
      <c r="B497" s="314"/>
      <c r="C497" s="314"/>
      <c r="D497" s="314"/>
      <c r="E497" s="313"/>
      <c r="F497" s="314"/>
    </row>
    <row r="498" spans="1:6">
      <c r="A498" s="314"/>
      <c r="B498" s="314"/>
      <c r="C498" s="314"/>
      <c r="D498" s="314"/>
      <c r="E498" s="313"/>
      <c r="F498" s="314"/>
    </row>
    <row r="499" spans="1:6">
      <c r="A499" s="314"/>
      <c r="B499" s="314"/>
      <c r="C499" s="314"/>
      <c r="D499" s="314"/>
      <c r="E499" s="313"/>
      <c r="F499" s="314"/>
    </row>
    <row r="500" spans="1:6">
      <c r="A500" s="314"/>
      <c r="B500" s="314"/>
      <c r="C500" s="314"/>
      <c r="D500" s="314"/>
      <c r="E500" s="313"/>
      <c r="F500" s="314"/>
    </row>
    <row r="501" spans="1:6">
      <c r="A501" s="314"/>
      <c r="B501" s="314"/>
      <c r="C501" s="314"/>
      <c r="D501" s="314"/>
      <c r="E501" s="313"/>
      <c r="F501" s="314"/>
    </row>
    <row r="502" spans="1:6">
      <c r="A502" s="314"/>
      <c r="B502" s="314"/>
      <c r="C502" s="314"/>
      <c r="D502" s="314"/>
      <c r="E502" s="313"/>
      <c r="F502" s="314"/>
    </row>
    <row r="503" spans="1:6">
      <c r="A503" s="314"/>
      <c r="B503" s="314"/>
      <c r="C503" s="314"/>
      <c r="D503" s="314"/>
      <c r="E503" s="313"/>
      <c r="F503" s="314"/>
    </row>
    <row r="504" spans="1:6">
      <c r="A504" s="314"/>
      <c r="B504" s="314"/>
      <c r="C504" s="314"/>
      <c r="D504" s="314"/>
      <c r="E504" s="313"/>
      <c r="F504" s="314"/>
    </row>
    <row r="505" spans="1:6">
      <c r="A505" s="314"/>
      <c r="B505" s="314"/>
      <c r="C505" s="314"/>
      <c r="D505" s="314"/>
      <c r="E505" s="313"/>
      <c r="F505" s="314"/>
    </row>
    <row r="506" spans="1:6">
      <c r="A506" s="314"/>
      <c r="B506" s="314"/>
      <c r="C506" s="314"/>
      <c r="D506" s="314"/>
      <c r="E506" s="313"/>
      <c r="F506" s="314"/>
    </row>
    <row r="507" spans="1:6">
      <c r="A507" s="314"/>
      <c r="B507" s="314"/>
      <c r="C507" s="314"/>
      <c r="D507" s="314"/>
      <c r="E507" s="313"/>
      <c r="F507" s="314"/>
    </row>
    <row r="508" spans="1:6">
      <c r="A508" s="314"/>
      <c r="B508" s="314"/>
      <c r="C508" s="314"/>
      <c r="D508" s="314"/>
      <c r="E508" s="313"/>
      <c r="F508" s="314"/>
    </row>
    <row r="509" spans="1:6">
      <c r="A509" s="314"/>
      <c r="B509" s="314"/>
      <c r="C509" s="314"/>
      <c r="D509" s="314"/>
      <c r="E509" s="313"/>
      <c r="F509" s="314"/>
    </row>
    <row r="510" spans="1:6">
      <c r="A510" s="314"/>
      <c r="B510" s="314"/>
      <c r="C510" s="314"/>
      <c r="D510" s="314"/>
      <c r="E510" s="313"/>
      <c r="F510" s="314"/>
    </row>
    <row r="511" spans="1:6">
      <c r="A511" s="314"/>
      <c r="B511" s="314"/>
      <c r="C511" s="314"/>
      <c r="D511" s="314"/>
      <c r="E511" s="313"/>
      <c r="F511" s="314"/>
    </row>
    <row r="512" spans="1:6">
      <c r="A512" s="314"/>
      <c r="B512" s="314"/>
      <c r="C512" s="314"/>
      <c r="D512" s="314"/>
      <c r="E512" s="313"/>
      <c r="F512" s="314"/>
    </row>
    <row r="513" spans="1:6">
      <c r="A513" s="314"/>
      <c r="B513" s="314"/>
      <c r="C513" s="314"/>
      <c r="D513" s="314"/>
      <c r="E513" s="313"/>
      <c r="F513" s="314"/>
    </row>
    <row r="514" spans="1:6">
      <c r="A514" s="314"/>
      <c r="B514" s="314"/>
      <c r="C514" s="314"/>
      <c r="D514" s="314"/>
      <c r="E514" s="313"/>
      <c r="F514" s="314"/>
    </row>
    <row r="515" spans="1:6">
      <c r="A515" s="314"/>
      <c r="B515" s="314"/>
      <c r="C515" s="314"/>
      <c r="D515" s="314"/>
      <c r="E515" s="313"/>
      <c r="F515" s="314"/>
    </row>
    <row r="516" spans="1:6">
      <c r="A516" s="314"/>
      <c r="B516" s="314"/>
      <c r="C516" s="314"/>
      <c r="D516" s="314"/>
      <c r="E516" s="313"/>
      <c r="F516" s="314"/>
    </row>
    <row r="517" spans="1:6">
      <c r="A517" s="314"/>
      <c r="B517" s="314"/>
      <c r="C517" s="314"/>
      <c r="D517" s="314"/>
      <c r="E517" s="313"/>
      <c r="F517" s="314"/>
    </row>
    <row r="518" spans="1:6">
      <c r="A518" s="314"/>
      <c r="B518" s="314"/>
      <c r="C518" s="314"/>
      <c r="D518" s="314"/>
      <c r="E518" s="313"/>
      <c r="F518" s="314"/>
    </row>
    <row r="519" spans="1:6">
      <c r="A519" s="314"/>
      <c r="B519" s="314"/>
      <c r="C519" s="314"/>
      <c r="D519" s="314"/>
      <c r="E519" s="313"/>
      <c r="F519" s="314"/>
    </row>
    <row r="520" spans="1:6">
      <c r="A520" s="314"/>
      <c r="B520" s="314"/>
      <c r="C520" s="314"/>
      <c r="D520" s="314"/>
      <c r="E520" s="313"/>
      <c r="F520" s="314"/>
    </row>
    <row r="521" spans="1:6">
      <c r="A521" s="314"/>
      <c r="B521" s="314"/>
      <c r="C521" s="314"/>
      <c r="D521" s="314"/>
      <c r="E521" s="313"/>
      <c r="F521" s="314"/>
    </row>
    <row r="522" spans="1:6">
      <c r="A522" s="314"/>
      <c r="B522" s="314"/>
      <c r="C522" s="314"/>
      <c r="D522" s="314"/>
      <c r="E522" s="313"/>
      <c r="F522" s="314"/>
    </row>
    <row r="523" spans="1:6">
      <c r="A523" s="314"/>
      <c r="B523" s="314"/>
      <c r="C523" s="314"/>
      <c r="D523" s="314"/>
      <c r="E523" s="313"/>
      <c r="F523" s="314"/>
    </row>
    <row r="524" spans="1:6">
      <c r="A524" s="314"/>
      <c r="B524" s="314"/>
      <c r="C524" s="314"/>
      <c r="D524" s="314"/>
      <c r="E524" s="313"/>
      <c r="F524" s="314"/>
    </row>
    <row r="525" spans="1:6">
      <c r="A525" s="314"/>
      <c r="B525" s="314"/>
      <c r="C525" s="314"/>
      <c r="D525" s="314"/>
      <c r="E525" s="313"/>
      <c r="F525" s="314"/>
    </row>
    <row r="526" spans="1:6">
      <c r="A526" s="314"/>
      <c r="B526" s="314"/>
      <c r="C526" s="314"/>
      <c r="D526" s="314"/>
      <c r="E526" s="313"/>
      <c r="F526" s="314"/>
    </row>
    <row r="527" spans="1:6">
      <c r="A527" s="314"/>
      <c r="B527" s="314"/>
      <c r="C527" s="314"/>
      <c r="D527" s="314"/>
      <c r="E527" s="313"/>
      <c r="F527" s="314"/>
    </row>
    <row r="528" spans="1:6">
      <c r="A528" s="314"/>
      <c r="B528" s="314"/>
      <c r="C528" s="314"/>
      <c r="D528" s="314"/>
      <c r="E528" s="313"/>
      <c r="F528" s="314"/>
    </row>
    <row r="529" spans="1:6">
      <c r="A529" s="314"/>
      <c r="B529" s="314"/>
      <c r="C529" s="314"/>
      <c r="D529" s="314"/>
      <c r="E529" s="313"/>
      <c r="F529" s="314"/>
    </row>
    <row r="530" spans="1:6">
      <c r="A530" s="314"/>
      <c r="B530" s="314"/>
      <c r="C530" s="314"/>
      <c r="D530" s="314"/>
      <c r="E530" s="313"/>
      <c r="F530" s="314"/>
    </row>
    <row r="531" spans="1:6">
      <c r="A531" s="314"/>
      <c r="B531" s="314"/>
      <c r="C531" s="314"/>
      <c r="D531" s="314"/>
      <c r="E531" s="313"/>
      <c r="F531" s="314"/>
    </row>
    <row r="532" spans="1:6">
      <c r="A532" s="314"/>
      <c r="B532" s="314"/>
      <c r="C532" s="314"/>
      <c r="D532" s="314"/>
      <c r="E532" s="313"/>
      <c r="F532" s="314"/>
    </row>
    <row r="533" spans="1:6">
      <c r="A533" s="314"/>
      <c r="B533" s="314"/>
      <c r="C533" s="314"/>
      <c r="D533" s="314"/>
      <c r="E533" s="313"/>
      <c r="F533" s="314"/>
    </row>
    <row r="534" spans="1:6">
      <c r="A534" s="314"/>
      <c r="B534" s="314"/>
      <c r="C534" s="314"/>
      <c r="D534" s="314"/>
      <c r="E534" s="313"/>
      <c r="F534" s="314"/>
    </row>
    <row r="535" spans="1:6">
      <c r="A535" s="314"/>
      <c r="B535" s="314"/>
      <c r="C535" s="314"/>
      <c r="D535" s="314"/>
      <c r="E535" s="313"/>
      <c r="F535" s="314"/>
    </row>
    <row r="536" spans="1:6">
      <c r="A536" s="314"/>
      <c r="B536" s="314"/>
      <c r="C536" s="314"/>
      <c r="D536" s="314"/>
      <c r="E536" s="313"/>
      <c r="F536" s="314"/>
    </row>
    <row r="537" spans="1:6">
      <c r="A537" s="314"/>
      <c r="B537" s="314"/>
      <c r="C537" s="314"/>
      <c r="D537" s="314"/>
      <c r="E537" s="313"/>
      <c r="F537" s="314"/>
    </row>
    <row r="538" spans="1:6">
      <c r="A538" s="314"/>
      <c r="B538" s="314"/>
      <c r="C538" s="314"/>
      <c r="D538" s="314"/>
      <c r="E538" s="313"/>
      <c r="F538" s="314"/>
    </row>
    <row r="539" spans="1:6">
      <c r="A539" s="314"/>
      <c r="B539" s="314"/>
      <c r="C539" s="314"/>
      <c r="D539" s="314"/>
      <c r="E539" s="313"/>
      <c r="F539" s="314"/>
    </row>
    <row r="540" spans="1:6">
      <c r="A540" s="314"/>
      <c r="B540" s="314"/>
      <c r="C540" s="314"/>
      <c r="D540" s="314"/>
      <c r="E540" s="313"/>
      <c r="F540" s="314"/>
    </row>
    <row r="541" spans="1:6">
      <c r="A541" s="314"/>
      <c r="B541" s="314"/>
      <c r="C541" s="314"/>
      <c r="D541" s="314"/>
      <c r="E541" s="313"/>
      <c r="F541" s="314"/>
    </row>
    <row r="542" spans="1:6">
      <c r="A542" s="314"/>
      <c r="B542" s="314"/>
      <c r="C542" s="314"/>
      <c r="D542" s="314"/>
      <c r="E542" s="313"/>
      <c r="F542" s="314"/>
    </row>
    <row r="543" spans="1:6">
      <c r="A543" s="314"/>
      <c r="B543" s="314"/>
      <c r="C543" s="314"/>
      <c r="D543" s="314"/>
      <c r="E543" s="313"/>
      <c r="F543" s="314"/>
    </row>
    <row r="544" spans="1:6">
      <c r="A544" s="314"/>
      <c r="B544" s="314"/>
      <c r="C544" s="314"/>
      <c r="D544" s="314"/>
      <c r="E544" s="313"/>
      <c r="F544" s="314"/>
    </row>
    <row r="545" spans="1:6">
      <c r="A545" s="314"/>
      <c r="B545" s="314"/>
      <c r="C545" s="314"/>
      <c r="D545" s="314"/>
      <c r="E545" s="313"/>
      <c r="F545" s="314"/>
    </row>
    <row r="546" spans="1:6">
      <c r="A546" s="314"/>
      <c r="B546" s="314"/>
      <c r="C546" s="314"/>
      <c r="D546" s="314"/>
      <c r="E546" s="313"/>
      <c r="F546" s="314"/>
    </row>
    <row r="547" spans="1:6">
      <c r="A547" s="314"/>
      <c r="B547" s="314"/>
      <c r="C547" s="314"/>
      <c r="D547" s="314"/>
      <c r="E547" s="313"/>
      <c r="F547" s="314"/>
    </row>
    <row r="548" spans="1:6">
      <c r="A548" s="314"/>
      <c r="B548" s="314"/>
      <c r="C548" s="314"/>
      <c r="D548" s="314"/>
      <c r="E548" s="313"/>
      <c r="F548" s="314"/>
    </row>
    <row r="549" spans="1:6">
      <c r="A549" s="314"/>
      <c r="B549" s="314"/>
      <c r="C549" s="314"/>
      <c r="D549" s="314"/>
      <c r="E549" s="313"/>
      <c r="F549" s="314"/>
    </row>
    <row r="550" spans="1:6">
      <c r="A550" s="314"/>
      <c r="B550" s="314"/>
      <c r="C550" s="314"/>
      <c r="D550" s="314"/>
      <c r="E550" s="313"/>
      <c r="F550" s="314"/>
    </row>
    <row r="551" spans="1:6">
      <c r="A551" s="314"/>
      <c r="B551" s="314"/>
      <c r="C551" s="314"/>
      <c r="D551" s="314"/>
      <c r="E551" s="313"/>
      <c r="F551" s="314"/>
    </row>
    <row r="552" spans="1:6">
      <c r="A552" s="314"/>
      <c r="B552" s="314"/>
      <c r="C552" s="314"/>
      <c r="D552" s="314"/>
      <c r="E552" s="313"/>
      <c r="F552" s="314"/>
    </row>
    <row r="553" spans="1:6">
      <c r="A553" s="314"/>
      <c r="B553" s="314"/>
      <c r="C553" s="314"/>
      <c r="D553" s="314"/>
      <c r="E553" s="313"/>
      <c r="F553" s="314"/>
    </row>
    <row r="554" spans="1:6">
      <c r="A554" s="314"/>
      <c r="B554" s="314"/>
      <c r="C554" s="314"/>
      <c r="D554" s="314"/>
      <c r="E554" s="313"/>
      <c r="F554" s="314"/>
    </row>
    <row r="555" spans="1:6">
      <c r="A555" s="314"/>
      <c r="B555" s="314"/>
      <c r="C555" s="314"/>
      <c r="D555" s="314"/>
      <c r="E555" s="313"/>
      <c r="F555" s="314"/>
    </row>
    <row r="556" spans="1:6">
      <c r="A556" s="314"/>
      <c r="B556" s="314"/>
      <c r="C556" s="314"/>
      <c r="D556" s="314"/>
      <c r="E556" s="313"/>
      <c r="F556" s="314"/>
    </row>
    <row r="557" spans="1:6">
      <c r="A557" s="314"/>
      <c r="B557" s="314"/>
      <c r="C557" s="314"/>
      <c r="D557" s="314"/>
      <c r="E557" s="313"/>
      <c r="F557" s="314"/>
    </row>
    <row r="558" spans="1:6">
      <c r="A558" s="314"/>
      <c r="B558" s="314"/>
      <c r="C558" s="314"/>
      <c r="D558" s="314"/>
      <c r="E558" s="313"/>
      <c r="F558" s="314"/>
    </row>
    <row r="559" spans="1:6">
      <c r="A559" s="314"/>
      <c r="B559" s="314"/>
      <c r="C559" s="314"/>
      <c r="D559" s="314"/>
      <c r="E559" s="313"/>
      <c r="F559" s="314"/>
    </row>
    <row r="560" spans="1:6">
      <c r="A560" s="314"/>
      <c r="B560" s="314"/>
      <c r="C560" s="314"/>
      <c r="D560" s="314"/>
      <c r="E560" s="313"/>
      <c r="F560" s="314"/>
    </row>
    <row r="561" spans="1:6">
      <c r="A561" s="314"/>
      <c r="B561" s="314"/>
      <c r="C561" s="314"/>
      <c r="D561" s="314"/>
      <c r="E561" s="313"/>
      <c r="F561" s="314"/>
    </row>
    <row r="562" spans="1:6">
      <c r="A562" s="314"/>
      <c r="B562" s="314"/>
      <c r="C562" s="314"/>
      <c r="D562" s="314"/>
      <c r="E562" s="313"/>
      <c r="F562" s="314"/>
    </row>
    <row r="563" spans="1:6">
      <c r="A563" s="314"/>
      <c r="B563" s="314"/>
      <c r="C563" s="314"/>
      <c r="D563" s="314"/>
      <c r="E563" s="313"/>
      <c r="F563" s="314"/>
    </row>
    <row r="564" spans="1:6">
      <c r="A564" s="314"/>
      <c r="B564" s="314"/>
      <c r="C564" s="314"/>
      <c r="D564" s="314"/>
      <c r="E564" s="313"/>
      <c r="F564" s="314"/>
    </row>
    <row r="565" spans="1:6">
      <c r="A565" s="314"/>
      <c r="B565" s="314"/>
      <c r="C565" s="314"/>
      <c r="D565" s="314"/>
      <c r="E565" s="313"/>
      <c r="F565" s="314"/>
    </row>
    <row r="566" spans="1:6">
      <c r="A566" s="314"/>
      <c r="B566" s="314"/>
      <c r="C566" s="314"/>
      <c r="D566" s="314"/>
      <c r="E566" s="313"/>
      <c r="F566" s="314"/>
    </row>
    <row r="567" spans="1:6">
      <c r="A567" s="314"/>
      <c r="B567" s="314"/>
      <c r="C567" s="314"/>
      <c r="D567" s="314"/>
      <c r="E567" s="313"/>
      <c r="F567" s="314"/>
    </row>
    <row r="568" spans="1:6">
      <c r="A568" s="314"/>
      <c r="B568" s="314"/>
      <c r="C568" s="314"/>
      <c r="D568" s="314"/>
      <c r="E568" s="313"/>
      <c r="F568" s="314"/>
    </row>
    <row r="569" spans="1:6">
      <c r="A569" s="314"/>
      <c r="B569" s="314"/>
      <c r="C569" s="314"/>
      <c r="D569" s="314"/>
      <c r="E569" s="313"/>
      <c r="F569" s="314"/>
    </row>
    <row r="570" spans="1:6">
      <c r="A570" s="314"/>
      <c r="B570" s="314"/>
      <c r="C570" s="314"/>
      <c r="D570" s="314"/>
      <c r="E570" s="313"/>
      <c r="F570" s="314"/>
    </row>
    <row r="571" spans="1:6">
      <c r="A571" s="314"/>
      <c r="B571" s="314"/>
      <c r="C571" s="314"/>
      <c r="D571" s="314"/>
      <c r="E571" s="313"/>
      <c r="F571" s="314"/>
    </row>
    <row r="572" spans="1:6">
      <c r="A572" s="314"/>
      <c r="B572" s="314"/>
      <c r="C572" s="314"/>
      <c r="D572" s="314"/>
      <c r="E572" s="313"/>
      <c r="F572" s="314"/>
    </row>
    <row r="573" spans="1:6">
      <c r="A573" s="314"/>
      <c r="B573" s="314"/>
      <c r="C573" s="314"/>
      <c r="D573" s="314"/>
      <c r="E573" s="313"/>
      <c r="F573" s="314"/>
    </row>
    <row r="574" spans="1:6">
      <c r="A574" s="314"/>
      <c r="B574" s="314"/>
      <c r="C574" s="314"/>
      <c r="D574" s="314"/>
      <c r="E574" s="313"/>
      <c r="F574" s="314"/>
    </row>
    <row r="575" spans="1:6">
      <c r="A575" s="314"/>
      <c r="B575" s="314"/>
      <c r="C575" s="314"/>
      <c r="D575" s="314"/>
      <c r="E575" s="313"/>
      <c r="F575" s="314"/>
    </row>
    <row r="576" spans="1:6">
      <c r="A576" s="314"/>
      <c r="B576" s="314"/>
      <c r="C576" s="314"/>
      <c r="D576" s="314"/>
      <c r="E576" s="313"/>
      <c r="F576" s="314"/>
    </row>
    <row r="577" spans="1:6">
      <c r="A577" s="314"/>
      <c r="B577" s="314"/>
      <c r="C577" s="314"/>
      <c r="D577" s="314"/>
      <c r="E577" s="313"/>
      <c r="F577" s="314"/>
    </row>
    <row r="578" spans="1:6">
      <c r="A578" s="314"/>
      <c r="B578" s="314"/>
      <c r="C578" s="314"/>
      <c r="D578" s="314"/>
      <c r="E578" s="313"/>
      <c r="F578" s="314"/>
    </row>
    <row r="579" spans="1:6">
      <c r="A579" s="314"/>
      <c r="B579" s="314"/>
      <c r="C579" s="314"/>
      <c r="D579" s="314"/>
      <c r="E579" s="313"/>
      <c r="F579" s="314"/>
    </row>
    <row r="580" spans="1:6">
      <c r="A580" s="314"/>
      <c r="B580" s="314"/>
      <c r="C580" s="314"/>
      <c r="D580" s="314"/>
      <c r="E580" s="313"/>
      <c r="F580" s="314"/>
    </row>
    <row r="581" spans="1:6">
      <c r="A581" s="314"/>
      <c r="B581" s="314"/>
      <c r="C581" s="314"/>
      <c r="D581" s="314"/>
      <c r="E581" s="313"/>
      <c r="F581" s="314"/>
    </row>
    <row r="582" spans="1:6">
      <c r="A582" s="314"/>
      <c r="B582" s="314"/>
      <c r="C582" s="314"/>
      <c r="D582" s="314"/>
      <c r="E582" s="313"/>
      <c r="F582" s="314"/>
    </row>
    <row r="583" spans="1:6">
      <c r="A583" s="314"/>
      <c r="B583" s="314"/>
      <c r="C583" s="314"/>
      <c r="D583" s="314"/>
      <c r="E583" s="313"/>
      <c r="F583" s="314"/>
    </row>
    <row r="584" spans="1:6">
      <c r="A584" s="314"/>
      <c r="B584" s="314"/>
      <c r="C584" s="314"/>
      <c r="D584" s="314"/>
      <c r="E584" s="313"/>
      <c r="F584" s="314"/>
    </row>
    <row r="585" spans="1:6">
      <c r="A585" s="314"/>
      <c r="B585" s="314"/>
      <c r="C585" s="314"/>
      <c r="D585" s="314"/>
      <c r="E585" s="313"/>
      <c r="F585" s="314"/>
    </row>
    <row r="586" spans="1:6">
      <c r="A586" s="314"/>
      <c r="B586" s="314"/>
      <c r="C586" s="314"/>
      <c r="D586" s="314"/>
      <c r="E586" s="313"/>
      <c r="F586" s="314"/>
    </row>
    <row r="587" spans="1:6">
      <c r="A587" s="314"/>
      <c r="B587" s="314"/>
      <c r="C587" s="314"/>
      <c r="D587" s="314"/>
      <c r="E587" s="313"/>
      <c r="F587" s="314"/>
    </row>
    <row r="588" spans="1:6">
      <c r="A588" s="314"/>
      <c r="B588" s="314"/>
      <c r="C588" s="314"/>
      <c r="D588" s="314"/>
      <c r="E588" s="313"/>
      <c r="F588" s="314"/>
    </row>
    <row r="589" spans="1:6">
      <c r="A589" s="314"/>
      <c r="B589" s="314"/>
      <c r="C589" s="314"/>
      <c r="D589" s="314"/>
      <c r="E589" s="313"/>
      <c r="F589" s="314"/>
    </row>
    <row r="590" spans="1:6">
      <c r="A590" s="314"/>
      <c r="B590" s="314"/>
      <c r="C590" s="314"/>
      <c r="D590" s="314"/>
      <c r="E590" s="313"/>
      <c r="F590" s="314"/>
    </row>
    <row r="591" spans="1:6">
      <c r="A591" s="314"/>
      <c r="B591" s="314"/>
      <c r="C591" s="314"/>
      <c r="D591" s="314"/>
      <c r="E591" s="313"/>
      <c r="F591" s="314"/>
    </row>
    <row r="592" spans="1:6">
      <c r="A592" s="314"/>
      <c r="B592" s="314"/>
      <c r="C592" s="314"/>
      <c r="D592" s="314"/>
      <c r="E592" s="313"/>
      <c r="F592" s="314"/>
    </row>
    <row r="593" spans="1:6">
      <c r="A593" s="314"/>
      <c r="B593" s="314"/>
      <c r="C593" s="314"/>
      <c r="D593" s="314"/>
      <c r="E593" s="313"/>
      <c r="F593" s="314"/>
    </row>
    <row r="594" spans="1:6">
      <c r="A594" s="314"/>
      <c r="B594" s="314"/>
      <c r="C594" s="314"/>
      <c r="D594" s="314"/>
      <c r="E594" s="313"/>
      <c r="F594" s="314"/>
    </row>
    <row r="595" spans="1:6">
      <c r="A595" s="314"/>
      <c r="B595" s="314"/>
      <c r="C595" s="314"/>
      <c r="D595" s="314"/>
      <c r="E595" s="313"/>
      <c r="F595" s="314"/>
    </row>
    <row r="596" spans="1:6">
      <c r="A596" s="314"/>
      <c r="B596" s="314"/>
      <c r="C596" s="314"/>
      <c r="D596" s="314"/>
      <c r="E596" s="313"/>
      <c r="F596" s="314"/>
    </row>
    <row r="597" spans="1:6">
      <c r="A597" s="314"/>
      <c r="B597" s="314"/>
      <c r="C597" s="314"/>
      <c r="D597" s="314"/>
      <c r="E597" s="313"/>
      <c r="F597" s="314"/>
    </row>
    <row r="598" spans="1:6">
      <c r="A598" s="314"/>
      <c r="B598" s="314"/>
      <c r="C598" s="314"/>
      <c r="D598" s="314"/>
      <c r="E598" s="313"/>
      <c r="F598" s="314"/>
    </row>
    <row r="599" spans="1:6">
      <c r="A599" s="314"/>
      <c r="B599" s="314"/>
      <c r="C599" s="314"/>
      <c r="D599" s="314"/>
      <c r="E599" s="313"/>
      <c r="F599" s="314"/>
    </row>
    <row r="600" spans="1:6">
      <c r="A600" s="314"/>
      <c r="B600" s="314"/>
      <c r="C600" s="314"/>
      <c r="D600" s="314"/>
      <c r="E600" s="313"/>
      <c r="F600" s="314"/>
    </row>
    <row r="601" spans="1:6">
      <c r="A601" s="314"/>
      <c r="B601" s="314"/>
      <c r="C601" s="314"/>
      <c r="D601" s="314"/>
      <c r="E601" s="313"/>
      <c r="F601" s="314"/>
    </row>
    <row r="602" spans="1:6">
      <c r="A602" s="314"/>
      <c r="B602" s="314"/>
      <c r="C602" s="314"/>
      <c r="D602" s="314"/>
      <c r="E602" s="313"/>
      <c r="F602" s="314"/>
    </row>
    <row r="603" spans="1:6">
      <c r="A603" s="314"/>
      <c r="B603" s="314"/>
      <c r="C603" s="314"/>
      <c r="D603" s="314"/>
      <c r="E603" s="313"/>
      <c r="F603" s="314"/>
    </row>
    <row r="604" spans="1:6">
      <c r="A604" s="314"/>
      <c r="B604" s="314"/>
      <c r="C604" s="314"/>
      <c r="D604" s="314"/>
      <c r="E604" s="313"/>
      <c r="F604" s="314"/>
    </row>
    <row r="605" spans="1:6">
      <c r="A605" s="314"/>
      <c r="B605" s="314"/>
      <c r="C605" s="314"/>
      <c r="D605" s="314"/>
      <c r="E605" s="313"/>
      <c r="F605" s="314"/>
    </row>
    <row r="606" spans="1:6">
      <c r="A606" s="314"/>
      <c r="B606" s="314"/>
      <c r="C606" s="314"/>
      <c r="D606" s="314"/>
      <c r="E606" s="313"/>
      <c r="F606" s="314"/>
    </row>
    <row r="607" spans="1:6">
      <c r="A607" s="314"/>
      <c r="B607" s="314"/>
      <c r="C607" s="314"/>
      <c r="D607" s="314"/>
      <c r="E607" s="313"/>
      <c r="F607" s="314"/>
    </row>
    <row r="608" spans="1:6">
      <c r="A608" s="314"/>
      <c r="B608" s="314"/>
      <c r="C608" s="314"/>
      <c r="D608" s="314"/>
      <c r="E608" s="313"/>
      <c r="F608" s="314"/>
    </row>
    <row r="609" spans="1:6">
      <c r="A609" s="314"/>
      <c r="B609" s="314"/>
      <c r="C609" s="314"/>
      <c r="D609" s="314"/>
      <c r="E609" s="313"/>
      <c r="F609" s="314"/>
    </row>
    <row r="610" spans="1:6">
      <c r="A610" s="314"/>
      <c r="B610" s="314"/>
      <c r="C610" s="314"/>
      <c r="D610" s="314"/>
      <c r="E610" s="313"/>
      <c r="F610" s="314"/>
    </row>
    <row r="611" spans="1:6">
      <c r="A611" s="314"/>
      <c r="B611" s="314"/>
      <c r="C611" s="314"/>
      <c r="D611" s="314"/>
      <c r="E611" s="313"/>
      <c r="F611" s="314"/>
    </row>
    <row r="612" spans="1:6">
      <c r="A612" s="314"/>
      <c r="B612" s="314"/>
      <c r="C612" s="314"/>
      <c r="D612" s="314"/>
      <c r="E612" s="313"/>
      <c r="F612" s="314"/>
    </row>
    <row r="613" spans="1:6">
      <c r="A613" s="314"/>
      <c r="B613" s="314"/>
      <c r="C613" s="314"/>
      <c r="D613" s="314"/>
      <c r="E613" s="313"/>
      <c r="F613" s="314"/>
    </row>
    <row r="614" spans="1:6">
      <c r="A614" s="314"/>
      <c r="B614" s="314"/>
      <c r="C614" s="314"/>
      <c r="D614" s="314"/>
      <c r="E614" s="313"/>
      <c r="F614" s="314"/>
    </row>
    <row r="615" spans="1:6">
      <c r="A615" s="314"/>
      <c r="B615" s="314"/>
      <c r="C615" s="314"/>
      <c r="D615" s="314"/>
      <c r="E615" s="313"/>
      <c r="F615" s="314"/>
    </row>
    <row r="616" spans="1:6">
      <c r="A616" s="314"/>
      <c r="B616" s="314"/>
      <c r="C616" s="314"/>
      <c r="D616" s="314"/>
      <c r="E616" s="313"/>
      <c r="F616" s="314"/>
    </row>
    <row r="617" spans="1:6">
      <c r="A617" s="314"/>
      <c r="B617" s="314"/>
      <c r="C617" s="314"/>
      <c r="D617" s="314"/>
      <c r="E617" s="313"/>
      <c r="F617" s="314"/>
    </row>
    <row r="618" spans="1:6">
      <c r="A618" s="314"/>
      <c r="B618" s="314"/>
      <c r="C618" s="314"/>
      <c r="D618" s="314"/>
      <c r="E618" s="313"/>
      <c r="F618" s="314"/>
    </row>
    <row r="619" spans="1:6">
      <c r="A619" s="314"/>
      <c r="B619" s="314"/>
      <c r="C619" s="314"/>
      <c r="D619" s="314"/>
      <c r="E619" s="313"/>
      <c r="F619" s="314"/>
    </row>
    <row r="620" spans="1:6">
      <c r="A620" s="314"/>
      <c r="B620" s="314"/>
      <c r="C620" s="314"/>
      <c r="D620" s="314"/>
      <c r="E620" s="313"/>
      <c r="F620" s="314"/>
    </row>
    <row r="621" spans="1:6">
      <c r="A621" s="314"/>
      <c r="B621" s="314"/>
      <c r="C621" s="314"/>
      <c r="D621" s="314"/>
      <c r="E621" s="313"/>
      <c r="F621" s="314"/>
    </row>
    <row r="622" spans="1:6">
      <c r="A622" s="314"/>
      <c r="B622" s="314"/>
      <c r="C622" s="314"/>
      <c r="D622" s="314"/>
      <c r="E622" s="313"/>
      <c r="F622" s="314"/>
    </row>
    <row r="623" spans="1:6">
      <c r="A623" s="314"/>
      <c r="B623" s="314"/>
      <c r="C623" s="314"/>
      <c r="D623" s="314"/>
      <c r="E623" s="313"/>
      <c r="F623" s="314"/>
    </row>
    <row r="624" spans="1:6">
      <c r="A624" s="314"/>
      <c r="B624" s="314"/>
      <c r="C624" s="314"/>
      <c r="D624" s="314"/>
      <c r="E624" s="313"/>
      <c r="F624" s="314"/>
    </row>
    <row r="625" spans="1:6">
      <c r="A625" s="314"/>
      <c r="B625" s="314"/>
      <c r="C625" s="314"/>
      <c r="D625" s="314"/>
      <c r="E625" s="313"/>
      <c r="F625" s="314"/>
    </row>
    <row r="626" spans="1:6">
      <c r="A626" s="314"/>
      <c r="B626" s="314"/>
      <c r="C626" s="314"/>
      <c r="D626" s="314"/>
      <c r="E626" s="313"/>
      <c r="F626" s="314"/>
    </row>
    <row r="627" spans="1:6">
      <c r="A627" s="314"/>
      <c r="B627" s="314"/>
      <c r="C627" s="314"/>
      <c r="D627" s="314"/>
      <c r="E627" s="313"/>
      <c r="F627" s="314"/>
    </row>
    <row r="628" spans="1:6">
      <c r="A628" s="314"/>
      <c r="B628" s="314"/>
      <c r="C628" s="314"/>
      <c r="D628" s="314"/>
      <c r="E628" s="313"/>
      <c r="F628" s="314"/>
    </row>
    <row r="629" spans="1:6">
      <c r="A629" s="314"/>
      <c r="B629" s="314"/>
      <c r="C629" s="314"/>
      <c r="D629" s="314"/>
      <c r="E629" s="313"/>
      <c r="F629" s="314"/>
    </row>
    <row r="630" spans="1:6">
      <c r="A630" s="314"/>
      <c r="B630" s="314"/>
      <c r="C630" s="314"/>
      <c r="D630" s="314"/>
      <c r="E630" s="313"/>
      <c r="F630" s="314"/>
    </row>
    <row r="631" spans="1:6">
      <c r="A631" s="314"/>
      <c r="B631" s="314"/>
      <c r="C631" s="314"/>
      <c r="D631" s="314"/>
      <c r="E631" s="313"/>
      <c r="F631" s="314"/>
    </row>
    <row r="632" spans="1:6">
      <c r="A632" s="314"/>
      <c r="B632" s="314"/>
      <c r="C632" s="314"/>
      <c r="D632" s="314"/>
      <c r="E632" s="313"/>
      <c r="F632" s="314"/>
    </row>
    <row r="633" spans="1:6">
      <c r="A633" s="314"/>
      <c r="B633" s="314"/>
      <c r="C633" s="314"/>
      <c r="D633" s="314"/>
      <c r="E633" s="313"/>
      <c r="F633" s="314"/>
    </row>
    <row r="634" spans="1:6">
      <c r="A634" s="314"/>
      <c r="B634" s="314"/>
      <c r="C634" s="314"/>
      <c r="D634" s="314"/>
      <c r="E634" s="313"/>
      <c r="F634" s="314"/>
    </row>
    <row r="635" spans="1:6">
      <c r="A635" s="314"/>
      <c r="B635" s="314"/>
      <c r="C635" s="314"/>
      <c r="D635" s="314"/>
      <c r="E635" s="313"/>
      <c r="F635" s="314"/>
    </row>
    <row r="636" spans="1:6">
      <c r="A636" s="314"/>
      <c r="B636" s="314"/>
      <c r="C636" s="314"/>
      <c r="D636" s="314"/>
      <c r="E636" s="313"/>
      <c r="F636" s="314"/>
    </row>
    <row r="637" spans="1:6">
      <c r="A637" s="314"/>
      <c r="B637" s="314"/>
      <c r="C637" s="314"/>
      <c r="D637" s="314"/>
      <c r="E637" s="313"/>
      <c r="F637" s="314"/>
    </row>
    <row r="638" spans="1:6">
      <c r="A638" s="314"/>
      <c r="B638" s="314"/>
      <c r="C638" s="314"/>
      <c r="D638" s="314"/>
      <c r="E638" s="313"/>
      <c r="F638" s="314"/>
    </row>
    <row r="639" spans="1:6">
      <c r="A639" s="314"/>
      <c r="B639" s="314"/>
      <c r="C639" s="314"/>
      <c r="D639" s="314"/>
      <c r="E639" s="313"/>
      <c r="F639" s="314"/>
    </row>
    <row r="640" spans="1:6">
      <c r="A640" s="314"/>
      <c r="B640" s="314"/>
      <c r="C640" s="314"/>
      <c r="D640" s="314"/>
      <c r="E640" s="313"/>
      <c r="F640" s="314"/>
    </row>
    <row r="641" spans="1:6">
      <c r="A641" s="314"/>
      <c r="B641" s="314"/>
      <c r="C641" s="314"/>
      <c r="D641" s="314"/>
      <c r="E641" s="313"/>
      <c r="F641" s="314"/>
    </row>
    <row r="642" spans="1:6">
      <c r="A642" s="314"/>
      <c r="B642" s="314"/>
      <c r="C642" s="314"/>
      <c r="D642" s="314"/>
      <c r="E642" s="313"/>
      <c r="F642" s="314"/>
    </row>
    <row r="643" spans="1:6">
      <c r="A643" s="314"/>
      <c r="B643" s="314"/>
      <c r="C643" s="314"/>
      <c r="D643" s="314"/>
      <c r="E643" s="313"/>
      <c r="F643" s="314"/>
    </row>
    <row r="644" spans="1:6">
      <c r="A644" s="314"/>
      <c r="B644" s="314"/>
      <c r="C644" s="314"/>
      <c r="D644" s="314"/>
      <c r="E644" s="313"/>
      <c r="F644" s="314"/>
    </row>
    <row r="645" spans="1:6">
      <c r="A645" s="314"/>
      <c r="B645" s="314"/>
      <c r="C645" s="314"/>
      <c r="D645" s="314"/>
      <c r="E645" s="313"/>
      <c r="F645" s="314"/>
    </row>
    <row r="646" spans="1:6">
      <c r="A646" s="314"/>
      <c r="B646" s="314"/>
      <c r="C646" s="314"/>
      <c r="D646" s="314"/>
      <c r="E646" s="313"/>
      <c r="F646" s="314"/>
    </row>
    <row r="647" spans="1:6">
      <c r="A647" s="314"/>
      <c r="B647" s="314"/>
      <c r="C647" s="314"/>
      <c r="D647" s="314"/>
      <c r="E647" s="313"/>
      <c r="F647" s="314"/>
    </row>
    <row r="648" spans="1:6">
      <c r="A648" s="314"/>
      <c r="B648" s="314"/>
      <c r="C648" s="314"/>
      <c r="D648" s="314"/>
      <c r="E648" s="313"/>
      <c r="F648" s="314"/>
    </row>
    <row r="649" spans="1:6">
      <c r="A649" s="314"/>
      <c r="B649" s="314"/>
      <c r="C649" s="314"/>
      <c r="D649" s="314"/>
      <c r="E649" s="313"/>
      <c r="F649" s="314"/>
    </row>
    <row r="650" spans="1:6">
      <c r="A650" s="314"/>
      <c r="B650" s="314"/>
      <c r="C650" s="314"/>
      <c r="D650" s="314"/>
      <c r="E650" s="313"/>
      <c r="F650" s="314"/>
    </row>
    <row r="651" spans="1:6">
      <c r="A651" s="314"/>
      <c r="B651" s="314"/>
      <c r="C651" s="314"/>
      <c r="D651" s="314"/>
      <c r="E651" s="313"/>
      <c r="F651" s="314"/>
    </row>
    <row r="652" spans="1:6">
      <c r="A652" s="314"/>
      <c r="B652" s="314"/>
      <c r="C652" s="314"/>
      <c r="D652" s="314"/>
      <c r="E652" s="313"/>
      <c r="F652" s="314"/>
    </row>
    <row r="653" spans="1:6">
      <c r="A653" s="314"/>
      <c r="B653" s="314"/>
      <c r="C653" s="314"/>
      <c r="D653" s="314"/>
      <c r="E653" s="313"/>
      <c r="F653" s="314"/>
    </row>
    <row r="654" spans="1:6">
      <c r="A654" s="314"/>
      <c r="B654" s="314"/>
      <c r="C654" s="314"/>
      <c r="D654" s="314"/>
      <c r="E654" s="313"/>
      <c r="F654" s="314"/>
    </row>
    <row r="655" spans="1:6">
      <c r="A655" s="314"/>
      <c r="B655" s="314"/>
      <c r="C655" s="314"/>
      <c r="D655" s="314"/>
      <c r="E655" s="313"/>
      <c r="F655" s="314"/>
    </row>
    <row r="656" spans="1:6">
      <c r="A656" s="314"/>
      <c r="B656" s="314"/>
      <c r="C656" s="314"/>
      <c r="D656" s="314"/>
      <c r="E656" s="313"/>
      <c r="F656" s="314"/>
    </row>
    <row r="657" spans="1:6">
      <c r="A657" s="314"/>
      <c r="B657" s="314"/>
      <c r="C657" s="314"/>
      <c r="D657" s="314"/>
      <c r="E657" s="313"/>
      <c r="F657" s="314"/>
    </row>
    <row r="658" spans="1:6">
      <c r="A658" s="314"/>
      <c r="B658" s="314"/>
      <c r="C658" s="314"/>
      <c r="D658" s="314"/>
      <c r="E658" s="313"/>
      <c r="F658" s="314"/>
    </row>
    <row r="659" spans="1:6">
      <c r="A659" s="314"/>
      <c r="B659" s="314"/>
      <c r="C659" s="314"/>
      <c r="D659" s="314"/>
      <c r="E659" s="313"/>
      <c r="F659" s="314"/>
    </row>
    <row r="660" spans="1:6">
      <c r="A660" s="314"/>
      <c r="B660" s="314"/>
      <c r="C660" s="314"/>
      <c r="D660" s="314"/>
      <c r="E660" s="313"/>
      <c r="F660" s="314"/>
    </row>
    <row r="661" spans="1:6">
      <c r="A661" s="314"/>
      <c r="B661" s="314"/>
      <c r="C661" s="314"/>
      <c r="D661" s="314"/>
      <c r="E661" s="313"/>
      <c r="F661" s="314"/>
    </row>
    <row r="662" spans="1:6">
      <c r="A662" s="314"/>
      <c r="B662" s="314"/>
      <c r="C662" s="314"/>
      <c r="D662" s="314"/>
      <c r="E662" s="313"/>
      <c r="F662" s="314"/>
    </row>
    <row r="663" spans="1:6">
      <c r="A663" s="314"/>
      <c r="B663" s="314"/>
      <c r="C663" s="314"/>
      <c r="D663" s="314"/>
      <c r="E663" s="313"/>
      <c r="F663" s="314"/>
    </row>
    <row r="664" spans="1:6">
      <c r="A664" s="314"/>
      <c r="B664" s="314"/>
      <c r="C664" s="314"/>
      <c r="D664" s="314"/>
      <c r="E664" s="313"/>
      <c r="F664" s="314"/>
    </row>
    <row r="665" spans="1:6">
      <c r="A665" s="314"/>
      <c r="B665" s="314"/>
      <c r="C665" s="314"/>
      <c r="D665" s="314"/>
      <c r="E665" s="313"/>
      <c r="F665" s="314"/>
    </row>
    <row r="666" spans="1:6">
      <c r="A666" s="314"/>
      <c r="B666" s="314"/>
      <c r="C666" s="314"/>
      <c r="D666" s="314"/>
      <c r="E666" s="313"/>
      <c r="F666" s="314"/>
    </row>
    <row r="667" spans="1:6">
      <c r="A667" s="314"/>
      <c r="B667" s="314"/>
      <c r="C667" s="314"/>
      <c r="D667" s="314"/>
      <c r="E667" s="313"/>
      <c r="F667" s="314"/>
    </row>
    <row r="668" spans="1:6">
      <c r="A668" s="314"/>
      <c r="B668" s="314"/>
      <c r="C668" s="314"/>
      <c r="D668" s="314"/>
      <c r="E668" s="313"/>
      <c r="F668" s="314"/>
    </row>
    <row r="669" spans="1:6">
      <c r="A669" s="314"/>
      <c r="B669" s="314"/>
      <c r="C669" s="314"/>
      <c r="D669" s="314"/>
      <c r="E669" s="313"/>
      <c r="F669" s="314"/>
    </row>
    <row r="670" spans="1:6">
      <c r="A670" s="314"/>
      <c r="B670" s="314"/>
      <c r="C670" s="314"/>
      <c r="D670" s="314"/>
      <c r="E670" s="313"/>
      <c r="F670" s="314"/>
    </row>
    <row r="671" spans="1:6">
      <c r="A671" s="314"/>
      <c r="B671" s="314"/>
      <c r="C671" s="314"/>
      <c r="D671" s="314"/>
      <c r="E671" s="313"/>
      <c r="F671" s="314"/>
    </row>
    <row r="672" spans="1:6">
      <c r="A672" s="314"/>
      <c r="B672" s="314"/>
      <c r="C672" s="314"/>
      <c r="D672" s="314"/>
      <c r="E672" s="313"/>
      <c r="F672" s="314"/>
    </row>
    <row r="673" spans="1:6">
      <c r="A673" s="314"/>
      <c r="B673" s="314"/>
      <c r="C673" s="314"/>
      <c r="D673" s="314"/>
      <c r="E673" s="313"/>
      <c r="F673" s="314"/>
    </row>
    <row r="674" spans="1:6">
      <c r="A674" s="314"/>
      <c r="B674" s="314"/>
      <c r="C674" s="314"/>
      <c r="D674" s="314"/>
      <c r="E674" s="313"/>
      <c r="F674" s="314"/>
    </row>
    <row r="675" spans="1:6">
      <c r="A675" s="314"/>
      <c r="B675" s="314"/>
      <c r="C675" s="314"/>
      <c r="D675" s="314"/>
      <c r="E675" s="313"/>
      <c r="F675" s="314"/>
    </row>
    <row r="676" spans="1:6">
      <c r="A676" s="314"/>
      <c r="B676" s="314"/>
      <c r="C676" s="314"/>
      <c r="D676" s="314"/>
      <c r="E676" s="313"/>
      <c r="F676" s="314"/>
    </row>
    <row r="677" spans="1:6">
      <c r="A677" s="314"/>
      <c r="B677" s="314"/>
      <c r="C677" s="314"/>
      <c r="D677" s="314"/>
      <c r="E677" s="313"/>
      <c r="F677" s="314"/>
    </row>
    <row r="678" spans="1:6">
      <c r="A678" s="314"/>
      <c r="B678" s="314"/>
      <c r="C678" s="314"/>
      <c r="D678" s="314"/>
      <c r="E678" s="313"/>
      <c r="F678" s="314"/>
    </row>
    <row r="679" spans="1:6">
      <c r="A679" s="314"/>
      <c r="B679" s="314"/>
      <c r="C679" s="314"/>
      <c r="D679" s="314"/>
      <c r="E679" s="313"/>
      <c r="F679" s="314"/>
    </row>
    <row r="680" spans="1:6">
      <c r="A680" s="314"/>
      <c r="B680" s="314"/>
      <c r="C680" s="314"/>
      <c r="D680" s="314"/>
      <c r="E680" s="313"/>
      <c r="F680" s="314"/>
    </row>
    <row r="681" spans="1:6">
      <c r="A681" s="314"/>
      <c r="B681" s="314"/>
      <c r="C681" s="314"/>
      <c r="D681" s="314"/>
      <c r="E681" s="313"/>
      <c r="F681" s="314"/>
    </row>
    <row r="682" spans="1:6">
      <c r="A682" s="314"/>
      <c r="B682" s="314"/>
      <c r="C682" s="314"/>
      <c r="D682" s="314"/>
      <c r="E682" s="313"/>
      <c r="F682" s="314"/>
    </row>
    <row r="683" spans="1:6">
      <c r="A683" s="314"/>
      <c r="B683" s="314"/>
      <c r="C683" s="314"/>
      <c r="D683" s="314"/>
      <c r="E683" s="313"/>
      <c r="F683" s="314"/>
    </row>
    <row r="684" spans="1:6">
      <c r="A684" s="314"/>
      <c r="B684" s="314"/>
      <c r="C684" s="314"/>
      <c r="D684" s="314"/>
      <c r="E684" s="313"/>
      <c r="F684" s="314"/>
    </row>
    <row r="685" spans="1:6">
      <c r="A685" s="314"/>
      <c r="B685" s="314"/>
      <c r="C685" s="314"/>
      <c r="D685" s="314"/>
      <c r="E685" s="313"/>
      <c r="F685" s="314"/>
    </row>
    <row r="686" spans="1:6">
      <c r="A686" s="314"/>
      <c r="B686" s="314"/>
      <c r="C686" s="314"/>
      <c r="D686" s="314"/>
      <c r="E686" s="313"/>
      <c r="F686" s="314"/>
    </row>
    <row r="687" spans="1:6">
      <c r="A687" s="314"/>
      <c r="B687" s="314"/>
      <c r="C687" s="314"/>
      <c r="D687" s="314"/>
      <c r="E687" s="313"/>
      <c r="F687" s="314"/>
    </row>
    <row r="688" spans="1:6">
      <c r="A688" s="314"/>
      <c r="B688" s="314"/>
      <c r="C688" s="314"/>
      <c r="D688" s="314"/>
      <c r="E688" s="313"/>
      <c r="F688" s="314"/>
    </row>
    <row r="689" spans="1:6">
      <c r="A689" s="314"/>
      <c r="B689" s="314"/>
      <c r="C689" s="314"/>
      <c r="D689" s="314"/>
      <c r="E689" s="313"/>
      <c r="F689" s="314"/>
    </row>
    <row r="690" spans="1:6">
      <c r="A690" s="314"/>
      <c r="B690" s="314"/>
      <c r="C690" s="314"/>
      <c r="D690" s="314"/>
      <c r="E690" s="313"/>
      <c r="F690" s="314"/>
    </row>
    <row r="691" spans="1:6">
      <c r="A691" s="314"/>
      <c r="B691" s="314"/>
      <c r="C691" s="314"/>
      <c r="D691" s="314"/>
      <c r="E691" s="313"/>
      <c r="F691" s="314"/>
    </row>
    <row r="692" spans="1:6">
      <c r="A692" s="314"/>
      <c r="B692" s="314"/>
      <c r="C692" s="314"/>
      <c r="D692" s="314"/>
      <c r="E692" s="313"/>
      <c r="F692" s="314"/>
    </row>
    <row r="693" spans="1:6">
      <c r="A693" s="314"/>
      <c r="B693" s="314"/>
      <c r="C693" s="314"/>
      <c r="D693" s="314"/>
      <c r="E693" s="313"/>
      <c r="F693" s="314"/>
    </row>
    <row r="694" spans="1:6">
      <c r="A694" s="314"/>
      <c r="B694" s="314"/>
      <c r="C694" s="314"/>
      <c r="D694" s="314"/>
      <c r="E694" s="313"/>
      <c r="F694" s="314"/>
    </row>
    <row r="695" spans="1:6">
      <c r="A695" s="314"/>
      <c r="B695" s="314"/>
      <c r="C695" s="314"/>
      <c r="D695" s="314"/>
      <c r="E695" s="313"/>
      <c r="F695" s="314"/>
    </row>
    <row r="696" spans="1:6">
      <c r="A696" s="314"/>
      <c r="B696" s="314"/>
      <c r="C696" s="314"/>
      <c r="D696" s="314"/>
      <c r="E696" s="313"/>
      <c r="F696" s="314"/>
    </row>
    <row r="697" spans="1:6">
      <c r="A697" s="314"/>
      <c r="B697" s="314"/>
      <c r="C697" s="314"/>
      <c r="D697" s="314"/>
      <c r="E697" s="313"/>
      <c r="F697" s="314"/>
    </row>
    <row r="698" spans="1:6">
      <c r="A698" s="314"/>
      <c r="B698" s="314"/>
      <c r="C698" s="314"/>
      <c r="D698" s="314"/>
      <c r="E698" s="313"/>
      <c r="F698" s="314"/>
    </row>
    <row r="699" spans="1:6">
      <c r="A699" s="314"/>
      <c r="B699" s="314"/>
      <c r="C699" s="314"/>
      <c r="D699" s="314"/>
      <c r="E699" s="313"/>
      <c r="F699" s="314"/>
    </row>
    <row r="700" spans="1:6">
      <c r="A700" s="314"/>
      <c r="B700" s="314"/>
      <c r="C700" s="314"/>
      <c r="D700" s="314"/>
      <c r="E700" s="313"/>
      <c r="F700" s="314"/>
    </row>
    <row r="701" spans="1:6">
      <c r="A701" s="314"/>
      <c r="B701" s="314"/>
      <c r="C701" s="314"/>
      <c r="D701" s="314"/>
      <c r="E701" s="313"/>
      <c r="F701" s="314"/>
    </row>
    <row r="702" spans="1:6">
      <c r="A702" s="314"/>
      <c r="B702" s="314"/>
      <c r="C702" s="314"/>
      <c r="D702" s="314"/>
      <c r="E702" s="313"/>
      <c r="F702" s="314"/>
    </row>
    <row r="703" spans="1:6">
      <c r="A703" s="314"/>
      <c r="B703" s="314"/>
      <c r="C703" s="314"/>
      <c r="D703" s="314"/>
      <c r="E703" s="313"/>
      <c r="F703" s="314"/>
    </row>
    <row r="704" spans="1:6">
      <c r="A704" s="314"/>
      <c r="B704" s="314"/>
      <c r="C704" s="314"/>
      <c r="D704" s="314"/>
      <c r="E704" s="313"/>
      <c r="F704" s="314"/>
    </row>
    <row r="705" spans="1:6">
      <c r="A705" s="314"/>
      <c r="B705" s="314"/>
      <c r="C705" s="314"/>
      <c r="D705" s="314"/>
      <c r="E705" s="313"/>
      <c r="F705" s="314"/>
    </row>
    <row r="706" spans="1:6">
      <c r="A706" s="314"/>
      <c r="B706" s="314"/>
      <c r="C706" s="314"/>
      <c r="D706" s="314"/>
      <c r="E706" s="313"/>
      <c r="F706" s="314"/>
    </row>
    <row r="707" spans="1:6">
      <c r="A707" s="314"/>
      <c r="B707" s="314"/>
      <c r="C707" s="314"/>
      <c r="D707" s="314"/>
      <c r="E707" s="313"/>
      <c r="F707" s="314"/>
    </row>
    <row r="708" spans="1:6">
      <c r="A708" s="314"/>
      <c r="B708" s="314"/>
      <c r="C708" s="314"/>
      <c r="D708" s="314"/>
      <c r="E708" s="313"/>
      <c r="F708" s="314"/>
    </row>
    <row r="709" spans="1:6">
      <c r="A709" s="314"/>
      <c r="B709" s="314"/>
      <c r="C709" s="314"/>
      <c r="D709" s="314"/>
      <c r="E709" s="313"/>
      <c r="F709" s="314"/>
    </row>
    <row r="710" spans="1:6">
      <c r="A710" s="314"/>
      <c r="B710" s="314"/>
      <c r="C710" s="314"/>
      <c r="D710" s="314"/>
      <c r="E710" s="313"/>
      <c r="F710" s="314"/>
    </row>
    <row r="711" spans="1:6">
      <c r="A711" s="314"/>
      <c r="B711" s="314"/>
      <c r="C711" s="314"/>
      <c r="D711" s="314"/>
      <c r="E711" s="313"/>
      <c r="F711" s="314"/>
    </row>
    <row r="712" spans="1:6">
      <c r="A712" s="314"/>
      <c r="B712" s="314"/>
      <c r="C712" s="314"/>
      <c r="D712" s="314"/>
      <c r="E712" s="313"/>
      <c r="F712" s="314"/>
    </row>
    <row r="713" spans="1:6">
      <c r="A713" s="314"/>
      <c r="B713" s="314"/>
      <c r="C713" s="314"/>
      <c r="D713" s="314"/>
      <c r="E713" s="313"/>
      <c r="F713" s="314"/>
    </row>
    <row r="714" spans="1:6">
      <c r="A714" s="314"/>
      <c r="B714" s="314"/>
      <c r="C714" s="314"/>
      <c r="D714" s="314"/>
      <c r="E714" s="313"/>
      <c r="F714" s="314"/>
    </row>
    <row r="715" spans="1:6">
      <c r="A715" s="314"/>
      <c r="B715" s="314"/>
      <c r="C715" s="314"/>
      <c r="D715" s="314"/>
      <c r="E715" s="313"/>
      <c r="F715" s="314"/>
    </row>
    <row r="716" spans="1:6">
      <c r="A716" s="314"/>
      <c r="B716" s="314"/>
      <c r="C716" s="314"/>
      <c r="D716" s="314"/>
      <c r="E716" s="313"/>
      <c r="F716" s="314"/>
    </row>
    <row r="717" spans="1:6">
      <c r="A717" s="314"/>
      <c r="B717" s="314"/>
      <c r="C717" s="314"/>
      <c r="D717" s="314"/>
      <c r="E717" s="313"/>
      <c r="F717" s="314"/>
    </row>
    <row r="718" spans="1:6">
      <c r="A718" s="314"/>
      <c r="B718" s="314"/>
      <c r="C718" s="314"/>
      <c r="D718" s="314"/>
      <c r="E718" s="313"/>
      <c r="F718" s="314"/>
    </row>
    <row r="719" spans="1:6">
      <c r="A719" s="314"/>
      <c r="B719" s="314"/>
      <c r="C719" s="314"/>
      <c r="D719" s="314"/>
      <c r="E719" s="313"/>
      <c r="F719" s="314"/>
    </row>
    <row r="720" spans="1:6">
      <c r="A720" s="314"/>
      <c r="B720" s="314"/>
      <c r="C720" s="314"/>
      <c r="D720" s="314"/>
      <c r="E720" s="313"/>
      <c r="F720" s="314"/>
    </row>
    <row r="721" spans="1:6">
      <c r="A721" s="314"/>
      <c r="B721" s="314"/>
      <c r="C721" s="314"/>
      <c r="D721" s="314"/>
      <c r="E721" s="313"/>
      <c r="F721" s="314"/>
    </row>
    <row r="722" spans="1:6">
      <c r="A722" s="314"/>
      <c r="B722" s="314"/>
      <c r="C722" s="314"/>
      <c r="D722" s="314"/>
      <c r="E722" s="313"/>
      <c r="F722" s="314"/>
    </row>
    <row r="723" spans="1:6">
      <c r="A723" s="314"/>
      <c r="B723" s="314"/>
      <c r="C723" s="314"/>
      <c r="D723" s="314"/>
      <c r="E723" s="313"/>
      <c r="F723" s="314"/>
    </row>
    <row r="724" spans="1:6">
      <c r="A724" s="314"/>
      <c r="B724" s="314"/>
      <c r="C724" s="314"/>
      <c r="D724" s="314"/>
      <c r="E724" s="313"/>
      <c r="F724" s="314"/>
    </row>
    <row r="725" spans="1:6">
      <c r="A725" s="314"/>
      <c r="B725" s="314"/>
      <c r="C725" s="314"/>
      <c r="D725" s="314"/>
      <c r="E725" s="313"/>
      <c r="F725" s="314"/>
    </row>
    <row r="726" spans="1:6">
      <c r="A726" s="314"/>
      <c r="B726" s="314"/>
      <c r="C726" s="314"/>
      <c r="D726" s="314"/>
      <c r="E726" s="313"/>
      <c r="F726" s="314"/>
    </row>
    <row r="727" spans="1:6">
      <c r="A727" s="314"/>
      <c r="B727" s="314"/>
      <c r="C727" s="314"/>
      <c r="D727" s="314"/>
      <c r="E727" s="313"/>
      <c r="F727" s="314"/>
    </row>
    <row r="728" spans="1:6">
      <c r="A728" s="314"/>
      <c r="B728" s="314"/>
      <c r="C728" s="314"/>
      <c r="D728" s="314"/>
      <c r="E728" s="313"/>
      <c r="F728" s="314"/>
    </row>
    <row r="729" spans="1:6">
      <c r="A729" s="314"/>
      <c r="B729" s="314"/>
      <c r="C729" s="314"/>
      <c r="D729" s="314"/>
      <c r="E729" s="313"/>
      <c r="F729" s="314"/>
    </row>
    <row r="730" spans="1:6">
      <c r="A730" s="314"/>
      <c r="B730" s="314"/>
      <c r="C730" s="314"/>
      <c r="D730" s="314"/>
      <c r="E730" s="313"/>
      <c r="F730" s="314"/>
    </row>
    <row r="731" spans="1:6">
      <c r="A731" s="314"/>
      <c r="B731" s="314"/>
      <c r="C731" s="314"/>
      <c r="D731" s="314"/>
      <c r="E731" s="313"/>
      <c r="F731" s="314"/>
    </row>
    <row r="732" spans="1:6">
      <c r="A732" s="314"/>
      <c r="B732" s="314"/>
      <c r="C732" s="314"/>
      <c r="D732" s="314"/>
      <c r="E732" s="313"/>
      <c r="F732" s="314"/>
    </row>
    <row r="733" spans="1:6">
      <c r="A733" s="314"/>
      <c r="B733" s="314"/>
      <c r="C733" s="314"/>
      <c r="D733" s="314"/>
      <c r="E733" s="313"/>
      <c r="F733" s="314"/>
    </row>
    <row r="734" spans="1:6">
      <c r="A734" s="314"/>
      <c r="B734" s="314"/>
      <c r="C734" s="314"/>
      <c r="D734" s="314"/>
      <c r="E734" s="313"/>
      <c r="F734" s="314"/>
    </row>
    <row r="735" spans="1:6">
      <c r="A735" s="314"/>
      <c r="B735" s="314"/>
      <c r="C735" s="314"/>
      <c r="D735" s="314"/>
      <c r="E735" s="313"/>
      <c r="F735" s="314"/>
    </row>
    <row r="736" spans="1:6">
      <c r="A736" s="314"/>
      <c r="B736" s="314"/>
      <c r="C736" s="314"/>
      <c r="D736" s="314"/>
      <c r="E736" s="313"/>
      <c r="F736" s="314"/>
    </row>
    <row r="737" spans="1:6">
      <c r="A737" s="314"/>
      <c r="B737" s="314"/>
      <c r="C737" s="314"/>
      <c r="D737" s="314"/>
      <c r="E737" s="313"/>
      <c r="F737" s="314"/>
    </row>
    <row r="738" spans="1:6">
      <c r="A738" s="314"/>
      <c r="B738" s="314"/>
      <c r="C738" s="314"/>
      <c r="D738" s="314"/>
      <c r="E738" s="313"/>
      <c r="F738" s="314"/>
    </row>
    <row r="739" spans="1:6">
      <c r="A739" s="314"/>
      <c r="B739" s="314"/>
      <c r="C739" s="314"/>
      <c r="D739" s="314"/>
      <c r="E739" s="313"/>
      <c r="F739" s="314"/>
    </row>
    <row r="740" spans="1:6">
      <c r="A740" s="314"/>
      <c r="B740" s="314"/>
      <c r="C740" s="314"/>
      <c r="D740" s="314"/>
      <c r="E740" s="313"/>
      <c r="F740" s="314"/>
    </row>
    <row r="741" spans="1:6">
      <c r="A741" s="314"/>
      <c r="B741" s="314"/>
      <c r="C741" s="314"/>
      <c r="D741" s="314"/>
      <c r="E741" s="313"/>
      <c r="F741" s="314"/>
    </row>
    <row r="742" spans="1:6">
      <c r="A742" s="314"/>
      <c r="B742" s="314"/>
      <c r="C742" s="314"/>
      <c r="D742" s="314"/>
      <c r="E742" s="313"/>
      <c r="F742" s="314"/>
    </row>
    <row r="743" spans="1:6">
      <c r="A743" s="314"/>
      <c r="B743" s="314"/>
      <c r="C743" s="314"/>
      <c r="D743" s="314"/>
      <c r="E743" s="313"/>
      <c r="F743" s="314"/>
    </row>
    <row r="744" spans="1:6">
      <c r="A744" s="314"/>
      <c r="B744" s="314"/>
      <c r="C744" s="314"/>
      <c r="D744" s="314"/>
      <c r="E744" s="313"/>
      <c r="F744" s="314"/>
    </row>
    <row r="745" spans="1:6">
      <c r="A745" s="314"/>
      <c r="B745" s="314"/>
      <c r="C745" s="314"/>
      <c r="D745" s="314"/>
      <c r="E745" s="313"/>
      <c r="F745" s="314"/>
    </row>
    <row r="746" spans="1:6">
      <c r="A746" s="314"/>
      <c r="B746" s="314"/>
      <c r="C746" s="314"/>
      <c r="D746" s="314"/>
      <c r="E746" s="313"/>
      <c r="F746" s="314"/>
    </row>
    <row r="747" spans="1:6">
      <c r="A747" s="314"/>
      <c r="B747" s="314"/>
      <c r="C747" s="314"/>
      <c r="D747" s="314"/>
      <c r="E747" s="313"/>
      <c r="F747" s="314"/>
    </row>
    <row r="748" spans="1:6">
      <c r="A748" s="314"/>
      <c r="B748" s="314"/>
      <c r="C748" s="314"/>
      <c r="D748" s="314"/>
      <c r="E748" s="313"/>
      <c r="F748" s="314"/>
    </row>
    <row r="749" spans="1:6">
      <c r="A749" s="314"/>
      <c r="B749" s="314"/>
      <c r="C749" s="314"/>
      <c r="D749" s="314"/>
      <c r="E749" s="313"/>
      <c r="F749" s="314"/>
    </row>
    <row r="750" spans="1:6">
      <c r="A750" s="314"/>
      <c r="B750" s="314"/>
      <c r="C750" s="314"/>
      <c r="D750" s="314"/>
      <c r="E750" s="313"/>
      <c r="F750" s="314"/>
    </row>
    <row r="751" spans="1:6">
      <c r="A751" s="314"/>
      <c r="B751" s="314"/>
      <c r="C751" s="314"/>
      <c r="D751" s="314"/>
      <c r="E751" s="313"/>
      <c r="F751" s="314"/>
    </row>
    <row r="752" spans="1:6">
      <c r="A752" s="314"/>
      <c r="B752" s="314"/>
      <c r="C752" s="314"/>
      <c r="D752" s="314"/>
      <c r="E752" s="313"/>
      <c r="F752" s="314"/>
    </row>
    <row r="753" spans="1:6">
      <c r="A753" s="314"/>
      <c r="B753" s="314"/>
      <c r="C753" s="314"/>
      <c r="D753" s="314"/>
      <c r="E753" s="313"/>
      <c r="F753" s="314"/>
    </row>
    <row r="754" spans="1:6">
      <c r="A754" s="314"/>
      <c r="B754" s="314"/>
      <c r="C754" s="314"/>
      <c r="D754" s="314"/>
      <c r="E754" s="313"/>
      <c r="F754" s="314"/>
    </row>
    <row r="755" spans="1:6">
      <c r="A755" s="314"/>
      <c r="B755" s="314"/>
      <c r="C755" s="314"/>
      <c r="D755" s="314"/>
      <c r="E755" s="313"/>
      <c r="F755" s="314"/>
    </row>
    <row r="756" spans="1:6">
      <c r="A756" s="314"/>
      <c r="B756" s="314"/>
      <c r="C756" s="314"/>
      <c r="D756" s="314"/>
      <c r="E756" s="313"/>
      <c r="F756" s="314"/>
    </row>
    <row r="757" spans="1:6">
      <c r="A757" s="314"/>
      <c r="B757" s="314"/>
      <c r="C757" s="314"/>
      <c r="D757" s="314"/>
      <c r="E757" s="313"/>
      <c r="F757" s="314"/>
    </row>
    <row r="758" spans="1:6">
      <c r="A758" s="314"/>
      <c r="B758" s="314"/>
      <c r="C758" s="314"/>
      <c r="D758" s="314"/>
      <c r="E758" s="313"/>
      <c r="F758" s="314"/>
    </row>
    <row r="759" spans="1:6">
      <c r="A759" s="314"/>
      <c r="B759" s="314"/>
      <c r="C759" s="314"/>
      <c r="D759" s="314"/>
      <c r="E759" s="313"/>
      <c r="F759" s="314"/>
    </row>
    <row r="760" spans="1:6">
      <c r="A760" s="314"/>
      <c r="B760" s="314"/>
      <c r="C760" s="314"/>
      <c r="D760" s="314"/>
      <c r="E760" s="313"/>
      <c r="F760" s="314"/>
    </row>
    <row r="761" spans="1:6">
      <c r="A761" s="314"/>
      <c r="B761" s="314"/>
      <c r="C761" s="314"/>
      <c r="D761" s="314"/>
      <c r="E761" s="313"/>
      <c r="F761" s="314"/>
    </row>
    <row r="762" spans="1:6">
      <c r="A762" s="314"/>
      <c r="B762" s="314"/>
      <c r="C762" s="314"/>
      <c r="D762" s="314"/>
      <c r="E762" s="313"/>
      <c r="F762" s="314"/>
    </row>
    <row r="763" spans="1:6">
      <c r="A763" s="314"/>
      <c r="B763" s="314"/>
      <c r="C763" s="314"/>
      <c r="D763" s="314"/>
      <c r="E763" s="313"/>
      <c r="F763" s="314"/>
    </row>
    <row r="764" spans="1:6">
      <c r="A764" s="314"/>
      <c r="B764" s="314"/>
      <c r="C764" s="314"/>
      <c r="D764" s="314"/>
      <c r="E764" s="313"/>
      <c r="F764" s="314"/>
    </row>
    <row r="765" spans="1:6">
      <c r="A765" s="314"/>
      <c r="B765" s="314"/>
      <c r="C765" s="314"/>
      <c r="D765" s="314"/>
      <c r="E765" s="313"/>
      <c r="F765" s="314"/>
    </row>
    <row r="766" spans="1:6">
      <c r="A766" s="314"/>
      <c r="B766" s="314"/>
      <c r="C766" s="314"/>
      <c r="D766" s="314"/>
      <c r="E766" s="313"/>
      <c r="F766" s="314"/>
    </row>
    <row r="767" spans="1:6">
      <c r="A767" s="314"/>
      <c r="B767" s="314"/>
      <c r="C767" s="314"/>
      <c r="D767" s="314"/>
      <c r="E767" s="313"/>
      <c r="F767" s="314"/>
    </row>
    <row r="768" spans="1:6">
      <c r="A768" s="314"/>
      <c r="B768" s="314"/>
      <c r="C768" s="314"/>
      <c r="D768" s="314"/>
      <c r="E768" s="313"/>
      <c r="F768" s="314"/>
    </row>
    <row r="769" spans="1:6">
      <c r="A769" s="314"/>
      <c r="B769" s="314"/>
      <c r="C769" s="314"/>
      <c r="D769" s="314"/>
      <c r="E769" s="313"/>
      <c r="F769" s="314"/>
    </row>
    <row r="770" spans="1:6">
      <c r="A770" s="314"/>
      <c r="B770" s="314"/>
      <c r="C770" s="314"/>
      <c r="D770" s="314"/>
      <c r="E770" s="313"/>
      <c r="F770" s="314"/>
    </row>
    <row r="771" spans="1:6">
      <c r="A771" s="314"/>
      <c r="B771" s="314"/>
      <c r="C771" s="314"/>
      <c r="D771" s="314"/>
      <c r="E771" s="313"/>
      <c r="F771" s="314"/>
    </row>
    <row r="772" spans="1:6">
      <c r="A772" s="314"/>
      <c r="B772" s="314"/>
      <c r="C772" s="314"/>
      <c r="D772" s="314"/>
      <c r="E772" s="313"/>
      <c r="F772" s="314"/>
    </row>
    <row r="773" spans="1:6">
      <c r="A773" s="314"/>
      <c r="B773" s="314"/>
      <c r="C773" s="314"/>
      <c r="D773" s="314"/>
      <c r="E773" s="313"/>
      <c r="F773" s="314"/>
    </row>
    <row r="774" spans="1:6">
      <c r="A774" s="314"/>
      <c r="B774" s="314"/>
      <c r="C774" s="314"/>
      <c r="D774" s="314"/>
      <c r="E774" s="313"/>
      <c r="F774" s="314"/>
    </row>
    <row r="775" spans="1:6">
      <c r="A775" s="314"/>
      <c r="B775" s="314"/>
      <c r="C775" s="314"/>
      <c r="D775" s="314"/>
      <c r="E775" s="313"/>
      <c r="F775" s="314"/>
    </row>
    <row r="776" spans="1:6">
      <c r="A776" s="314"/>
      <c r="B776" s="314"/>
      <c r="C776" s="314"/>
      <c r="D776" s="314"/>
      <c r="E776" s="313"/>
      <c r="F776" s="314"/>
    </row>
    <row r="777" spans="1:6">
      <c r="A777" s="314"/>
      <c r="B777" s="314"/>
      <c r="C777" s="314"/>
      <c r="D777" s="314"/>
      <c r="E777" s="313"/>
      <c r="F777" s="314"/>
    </row>
    <row r="778" spans="1:6">
      <c r="A778" s="314"/>
      <c r="B778" s="314"/>
      <c r="C778" s="314"/>
      <c r="D778" s="314"/>
      <c r="E778" s="313"/>
      <c r="F778" s="314"/>
    </row>
    <row r="779" spans="1:6">
      <c r="A779" s="314"/>
      <c r="B779" s="314"/>
      <c r="C779" s="314"/>
      <c r="D779" s="314"/>
      <c r="E779" s="313"/>
      <c r="F779" s="314"/>
    </row>
    <row r="780" spans="1:6">
      <c r="A780" s="314"/>
      <c r="B780" s="314"/>
      <c r="C780" s="314"/>
      <c r="D780" s="314"/>
      <c r="E780" s="313"/>
      <c r="F780" s="314"/>
    </row>
    <row r="781" spans="1:6">
      <c r="A781" s="314"/>
      <c r="B781" s="314"/>
      <c r="C781" s="314"/>
      <c r="D781" s="314"/>
      <c r="E781" s="313"/>
      <c r="F781" s="314"/>
    </row>
    <row r="782" spans="1:6">
      <c r="A782" s="314"/>
      <c r="B782" s="314"/>
      <c r="C782" s="314"/>
      <c r="D782" s="314"/>
      <c r="E782" s="313"/>
      <c r="F782" s="314"/>
    </row>
    <row r="783" spans="1:6">
      <c r="A783" s="314"/>
      <c r="B783" s="314"/>
      <c r="C783" s="314"/>
      <c r="D783" s="314"/>
      <c r="E783" s="313"/>
      <c r="F783" s="314"/>
    </row>
    <row r="784" spans="1:6">
      <c r="A784" s="314"/>
      <c r="B784" s="314"/>
      <c r="C784" s="314"/>
      <c r="D784" s="314"/>
      <c r="E784" s="313"/>
      <c r="F784" s="314"/>
    </row>
    <row r="785" spans="1:6">
      <c r="A785" s="314"/>
      <c r="B785" s="314"/>
      <c r="C785" s="314"/>
      <c r="D785" s="314"/>
      <c r="E785" s="313"/>
      <c r="F785" s="314"/>
    </row>
    <row r="786" spans="1:6">
      <c r="A786" s="314"/>
      <c r="B786" s="314"/>
      <c r="C786" s="314"/>
      <c r="D786" s="314"/>
      <c r="E786" s="313"/>
      <c r="F786" s="314"/>
    </row>
    <row r="787" spans="1:6">
      <c r="A787" s="314"/>
      <c r="B787" s="314"/>
      <c r="C787" s="314"/>
      <c r="D787" s="314"/>
      <c r="E787" s="313"/>
      <c r="F787" s="314"/>
    </row>
    <row r="788" spans="1:6">
      <c r="A788" s="314"/>
      <c r="B788" s="314"/>
      <c r="C788" s="314"/>
      <c r="D788" s="314"/>
      <c r="E788" s="313"/>
      <c r="F788" s="314"/>
    </row>
    <row r="789" spans="1:6">
      <c r="A789" s="314"/>
      <c r="B789" s="314"/>
      <c r="C789" s="314"/>
      <c r="D789" s="314"/>
      <c r="E789" s="313"/>
      <c r="F789" s="314"/>
    </row>
    <row r="790" spans="1:6">
      <c r="A790" s="314"/>
      <c r="B790" s="314"/>
      <c r="C790" s="314"/>
      <c r="D790" s="314"/>
      <c r="E790" s="313"/>
      <c r="F790" s="314"/>
    </row>
    <row r="791" spans="1:6">
      <c r="A791" s="314"/>
      <c r="B791" s="314"/>
      <c r="C791" s="314"/>
      <c r="D791" s="314"/>
      <c r="E791" s="313"/>
      <c r="F791" s="314"/>
    </row>
    <row r="792" spans="1:6">
      <c r="A792" s="314"/>
      <c r="B792" s="314"/>
      <c r="C792" s="314"/>
      <c r="D792" s="314"/>
      <c r="E792" s="313"/>
      <c r="F792" s="314"/>
    </row>
    <row r="793" spans="1:6">
      <c r="A793" s="314"/>
      <c r="B793" s="314"/>
      <c r="C793" s="314"/>
      <c r="D793" s="314"/>
      <c r="E793" s="313"/>
      <c r="F793" s="314"/>
    </row>
    <row r="794" spans="1:6">
      <c r="A794" s="314"/>
      <c r="B794" s="314"/>
      <c r="C794" s="314"/>
      <c r="D794" s="314"/>
      <c r="E794" s="313"/>
      <c r="F794" s="314"/>
    </row>
    <row r="795" spans="1:6">
      <c r="A795" s="314"/>
      <c r="B795" s="314"/>
      <c r="C795" s="314"/>
      <c r="D795" s="314"/>
      <c r="E795" s="313"/>
      <c r="F795" s="314"/>
    </row>
    <row r="796" spans="1:6">
      <c r="A796" s="314"/>
      <c r="B796" s="314"/>
      <c r="C796" s="314"/>
      <c r="D796" s="314"/>
      <c r="E796" s="313"/>
      <c r="F796" s="314"/>
    </row>
    <row r="797" spans="1:6">
      <c r="A797" s="314"/>
      <c r="B797" s="314"/>
      <c r="C797" s="314"/>
      <c r="D797" s="314"/>
      <c r="E797" s="313"/>
      <c r="F797" s="314"/>
    </row>
    <row r="798" spans="1:6">
      <c r="A798" s="314"/>
      <c r="B798" s="314"/>
      <c r="C798" s="314"/>
      <c r="D798" s="314"/>
      <c r="E798" s="313"/>
      <c r="F798" s="314"/>
    </row>
    <row r="799" spans="1:6">
      <c r="A799" s="314"/>
      <c r="B799" s="314"/>
      <c r="C799" s="314"/>
      <c r="D799" s="314"/>
      <c r="E799" s="313"/>
      <c r="F799" s="314"/>
    </row>
    <row r="800" spans="1:6">
      <c r="A800" s="314"/>
      <c r="B800" s="314"/>
      <c r="C800" s="314"/>
      <c r="D800" s="314"/>
      <c r="E800" s="313"/>
      <c r="F800" s="314"/>
    </row>
    <row r="801" spans="1:6">
      <c r="A801" s="314"/>
      <c r="B801" s="314"/>
      <c r="C801" s="314"/>
      <c r="D801" s="314"/>
      <c r="E801" s="313"/>
      <c r="F801" s="314"/>
    </row>
    <row r="802" spans="1:6">
      <c r="A802" s="314"/>
      <c r="B802" s="314"/>
      <c r="C802" s="314"/>
      <c r="D802" s="314"/>
      <c r="E802" s="313"/>
      <c r="F802" s="314"/>
    </row>
    <row r="803" spans="1:6">
      <c r="A803" s="314"/>
      <c r="B803" s="314"/>
      <c r="C803" s="314"/>
      <c r="D803" s="314"/>
      <c r="E803" s="313"/>
      <c r="F803" s="314"/>
    </row>
    <row r="804" spans="1:6">
      <c r="A804" s="314"/>
      <c r="B804" s="314"/>
      <c r="C804" s="314"/>
      <c r="D804" s="314"/>
      <c r="E804" s="313"/>
      <c r="F804" s="314"/>
    </row>
    <row r="805" spans="1:6">
      <c r="A805" s="314"/>
      <c r="B805" s="314"/>
      <c r="C805" s="314"/>
      <c r="D805" s="314"/>
      <c r="E805" s="313"/>
      <c r="F805" s="314"/>
    </row>
    <row r="806" spans="1:6">
      <c r="A806" s="314"/>
      <c r="B806" s="314"/>
      <c r="C806" s="314"/>
      <c r="D806" s="314"/>
      <c r="E806" s="313"/>
      <c r="F806" s="314"/>
    </row>
    <row r="807" spans="1:6">
      <c r="A807" s="314"/>
      <c r="B807" s="314"/>
      <c r="C807" s="314"/>
      <c r="D807" s="314"/>
      <c r="E807" s="313"/>
      <c r="F807" s="314"/>
    </row>
    <row r="808" spans="1:6">
      <c r="A808" s="314"/>
      <c r="B808" s="314"/>
      <c r="C808" s="314"/>
      <c r="D808" s="314"/>
      <c r="E808" s="313"/>
      <c r="F808" s="314"/>
    </row>
    <row r="809" spans="1:6">
      <c r="A809" s="314"/>
      <c r="B809" s="314"/>
      <c r="C809" s="314"/>
      <c r="D809" s="314"/>
      <c r="E809" s="313"/>
      <c r="F809" s="314"/>
    </row>
    <row r="810" spans="1:6">
      <c r="A810" s="314"/>
      <c r="B810" s="314"/>
      <c r="C810" s="314"/>
      <c r="D810" s="314"/>
      <c r="E810" s="313"/>
      <c r="F810" s="314"/>
    </row>
    <row r="811" spans="1:6">
      <c r="A811" s="314"/>
      <c r="B811" s="314"/>
      <c r="C811" s="314"/>
      <c r="D811" s="314"/>
      <c r="E811" s="313"/>
      <c r="F811" s="314"/>
    </row>
    <row r="812" spans="1:6">
      <c r="A812" s="314"/>
      <c r="B812" s="314"/>
      <c r="C812" s="314"/>
      <c r="D812" s="314"/>
      <c r="E812" s="313"/>
      <c r="F812" s="314"/>
    </row>
    <row r="813" spans="1:6">
      <c r="A813" s="314"/>
      <c r="B813" s="314"/>
      <c r="C813" s="314"/>
      <c r="D813" s="314"/>
      <c r="E813" s="313"/>
      <c r="F813" s="314"/>
    </row>
    <row r="814" spans="1:6">
      <c r="A814" s="314"/>
      <c r="B814" s="314"/>
      <c r="C814" s="314"/>
      <c r="D814" s="314"/>
      <c r="E814" s="313"/>
      <c r="F814" s="314"/>
    </row>
    <row r="815" spans="1:6">
      <c r="A815" s="314"/>
      <c r="B815" s="314"/>
      <c r="C815" s="314"/>
      <c r="D815" s="314"/>
      <c r="E815" s="313"/>
      <c r="F815" s="314"/>
    </row>
    <row r="816" spans="1:6">
      <c r="A816" s="314"/>
      <c r="B816" s="314"/>
      <c r="C816" s="314"/>
      <c r="D816" s="314"/>
      <c r="E816" s="313"/>
      <c r="F816" s="314"/>
    </row>
    <row r="817" spans="1:6">
      <c r="A817" s="314"/>
      <c r="B817" s="314"/>
      <c r="C817" s="314"/>
      <c r="D817" s="314"/>
      <c r="E817" s="313"/>
      <c r="F817" s="314"/>
    </row>
    <row r="818" spans="1:6">
      <c r="A818" s="314"/>
      <c r="B818" s="314"/>
      <c r="C818" s="314"/>
      <c r="D818" s="314"/>
      <c r="E818" s="313"/>
      <c r="F818" s="314"/>
    </row>
    <row r="819" spans="1:6">
      <c r="A819" s="314"/>
      <c r="B819" s="314"/>
      <c r="C819" s="314"/>
      <c r="D819" s="314"/>
      <c r="E819" s="313"/>
      <c r="F819" s="314"/>
    </row>
    <row r="820" spans="1:6">
      <c r="A820" s="314"/>
      <c r="B820" s="314"/>
      <c r="C820" s="314"/>
      <c r="D820" s="314"/>
      <c r="E820" s="313"/>
      <c r="F820" s="314"/>
    </row>
    <row r="821" spans="1:6">
      <c r="A821" s="314"/>
      <c r="B821" s="314"/>
      <c r="C821" s="314"/>
      <c r="D821" s="314"/>
      <c r="E821" s="313"/>
      <c r="F821" s="314"/>
    </row>
    <row r="822" spans="1:6">
      <c r="A822" s="314"/>
      <c r="B822" s="314"/>
      <c r="C822" s="314"/>
      <c r="D822" s="314"/>
      <c r="E822" s="313"/>
      <c r="F822" s="314"/>
    </row>
    <row r="823" spans="1:6">
      <c r="A823" s="314"/>
      <c r="B823" s="314"/>
      <c r="C823" s="314"/>
      <c r="D823" s="314"/>
      <c r="E823" s="313"/>
      <c r="F823" s="314"/>
    </row>
    <row r="824" spans="1:6">
      <c r="A824" s="314"/>
      <c r="B824" s="314"/>
      <c r="C824" s="314"/>
      <c r="D824" s="314"/>
      <c r="E824" s="313"/>
      <c r="F824" s="314"/>
    </row>
    <row r="825" spans="1:6">
      <c r="A825" s="314"/>
      <c r="B825" s="314"/>
      <c r="C825" s="314"/>
      <c r="D825" s="314"/>
      <c r="E825" s="313"/>
      <c r="F825" s="314"/>
    </row>
    <row r="826" spans="1:6">
      <c r="A826" s="314"/>
      <c r="B826" s="314"/>
      <c r="C826" s="314"/>
      <c r="D826" s="314"/>
      <c r="E826" s="313"/>
      <c r="F826" s="314"/>
    </row>
    <row r="827" spans="1:6">
      <c r="A827" s="314"/>
      <c r="B827" s="314"/>
      <c r="C827" s="314"/>
      <c r="D827" s="314"/>
      <c r="E827" s="313"/>
      <c r="F827" s="314"/>
    </row>
    <row r="828" spans="1:6">
      <c r="A828" s="314"/>
      <c r="B828" s="314"/>
      <c r="C828" s="314"/>
      <c r="D828" s="314"/>
      <c r="E828" s="313"/>
      <c r="F828" s="314"/>
    </row>
    <row r="829" spans="1:6">
      <c r="A829" s="314"/>
      <c r="B829" s="314"/>
      <c r="C829" s="314"/>
      <c r="D829" s="314"/>
      <c r="E829" s="313"/>
      <c r="F829" s="314"/>
    </row>
    <row r="830" spans="1:6">
      <c r="A830" s="314"/>
      <c r="B830" s="314"/>
      <c r="C830" s="314"/>
      <c r="D830" s="314"/>
      <c r="E830" s="313"/>
      <c r="F830" s="314"/>
    </row>
    <row r="831" spans="1:6">
      <c r="A831" s="314"/>
      <c r="B831" s="314"/>
      <c r="C831" s="314"/>
      <c r="D831" s="314"/>
      <c r="E831" s="313"/>
      <c r="F831" s="314"/>
    </row>
    <row r="832" spans="1:6">
      <c r="A832" s="314"/>
      <c r="B832" s="314"/>
      <c r="C832" s="314"/>
      <c r="D832" s="314"/>
      <c r="E832" s="313"/>
      <c r="F832" s="314"/>
    </row>
    <row r="833" spans="1:6">
      <c r="A833" s="314"/>
      <c r="B833" s="314"/>
      <c r="C833" s="314"/>
      <c r="D833" s="314"/>
      <c r="E833" s="313"/>
      <c r="F833" s="314"/>
    </row>
    <row r="834" spans="1:6">
      <c r="A834" s="314"/>
      <c r="B834" s="314"/>
      <c r="C834" s="314"/>
      <c r="D834" s="314"/>
      <c r="E834" s="313"/>
      <c r="F834" s="314"/>
    </row>
    <row r="835" spans="1:6">
      <c r="A835" s="314"/>
      <c r="B835" s="314"/>
      <c r="C835" s="314"/>
      <c r="D835" s="314"/>
      <c r="E835" s="313"/>
      <c r="F835" s="314"/>
    </row>
    <row r="836" spans="1:6">
      <c r="A836" s="314"/>
      <c r="B836" s="314"/>
      <c r="C836" s="314"/>
      <c r="D836" s="314"/>
      <c r="E836" s="313"/>
      <c r="F836" s="314"/>
    </row>
    <row r="837" spans="1:6">
      <c r="A837" s="314"/>
      <c r="B837" s="314"/>
      <c r="C837" s="314"/>
      <c r="D837" s="314"/>
      <c r="E837" s="313"/>
      <c r="F837" s="314"/>
    </row>
    <row r="838" spans="1:6">
      <c r="A838" s="314"/>
      <c r="B838" s="314"/>
      <c r="C838" s="314"/>
      <c r="D838" s="314"/>
      <c r="E838" s="313"/>
      <c r="F838" s="314"/>
    </row>
    <row r="839" spans="1:6">
      <c r="A839" s="314"/>
      <c r="B839" s="314"/>
      <c r="C839" s="314"/>
      <c r="D839" s="314"/>
      <c r="E839" s="313"/>
      <c r="F839" s="314"/>
    </row>
    <row r="840" spans="1:6">
      <c r="A840" s="314"/>
      <c r="B840" s="314"/>
      <c r="C840" s="314"/>
      <c r="D840" s="314"/>
      <c r="E840" s="313"/>
      <c r="F840" s="314"/>
    </row>
    <row r="841" spans="1:6">
      <c r="A841" s="314"/>
      <c r="B841" s="314"/>
      <c r="C841" s="314"/>
      <c r="D841" s="314"/>
      <c r="E841" s="313"/>
      <c r="F841" s="314"/>
    </row>
    <row r="842" spans="1:6">
      <c r="A842" s="314"/>
      <c r="B842" s="314"/>
      <c r="C842" s="314"/>
      <c r="D842" s="314"/>
      <c r="E842" s="313"/>
      <c r="F842" s="314"/>
    </row>
    <row r="843" spans="1:6">
      <c r="A843" s="314"/>
      <c r="B843" s="314"/>
      <c r="C843" s="314"/>
      <c r="D843" s="314"/>
      <c r="E843" s="313"/>
      <c r="F843" s="314"/>
    </row>
    <row r="844" spans="1:6">
      <c r="A844" s="314"/>
      <c r="B844" s="314"/>
      <c r="C844" s="314"/>
      <c r="D844" s="314"/>
      <c r="E844" s="313"/>
      <c r="F844" s="314"/>
    </row>
    <row r="845" spans="1:6">
      <c r="A845" s="314"/>
      <c r="B845" s="314"/>
      <c r="C845" s="314"/>
      <c r="D845" s="314"/>
      <c r="E845" s="313"/>
      <c r="F845" s="314"/>
    </row>
    <row r="846" spans="1:6">
      <c r="A846" s="314"/>
      <c r="B846" s="314"/>
      <c r="C846" s="314"/>
      <c r="D846" s="314"/>
      <c r="E846" s="313"/>
      <c r="F846" s="314"/>
    </row>
    <row r="847" spans="1:6">
      <c r="A847" s="314"/>
      <c r="B847" s="314"/>
      <c r="C847" s="314"/>
      <c r="D847" s="314"/>
      <c r="E847" s="313"/>
      <c r="F847" s="314"/>
    </row>
    <row r="848" spans="1:6">
      <c r="A848" s="314"/>
      <c r="B848" s="314"/>
      <c r="C848" s="314"/>
      <c r="D848" s="314"/>
      <c r="E848" s="313"/>
      <c r="F848" s="314"/>
    </row>
    <row r="849" spans="1:6">
      <c r="A849" s="314"/>
      <c r="B849" s="314"/>
      <c r="C849" s="314"/>
      <c r="D849" s="314"/>
      <c r="E849" s="313"/>
      <c r="F849" s="314"/>
    </row>
    <row r="850" spans="1:6">
      <c r="A850" s="314"/>
      <c r="B850" s="314"/>
      <c r="C850" s="314"/>
      <c r="D850" s="314"/>
      <c r="E850" s="313"/>
      <c r="F850" s="314"/>
    </row>
    <row r="851" spans="1:6">
      <c r="A851" s="314"/>
      <c r="B851" s="314"/>
      <c r="C851" s="314"/>
      <c r="D851" s="314"/>
      <c r="E851" s="313"/>
      <c r="F851" s="314"/>
    </row>
    <row r="852" spans="1:6">
      <c r="A852" s="314"/>
      <c r="B852" s="314"/>
      <c r="C852" s="314"/>
      <c r="D852" s="314"/>
      <c r="E852" s="313"/>
      <c r="F852" s="314"/>
    </row>
    <row r="853" spans="1:6">
      <c r="A853" s="314"/>
      <c r="B853" s="314"/>
      <c r="C853" s="314"/>
      <c r="D853" s="314"/>
      <c r="E853" s="313"/>
      <c r="F853" s="314"/>
    </row>
    <row r="854" spans="1:6">
      <c r="A854" s="314"/>
      <c r="B854" s="314"/>
      <c r="C854" s="314"/>
      <c r="D854" s="314"/>
      <c r="E854" s="313"/>
      <c r="F854" s="314"/>
    </row>
    <row r="855" spans="1:6">
      <c r="A855" s="314"/>
      <c r="B855" s="314"/>
      <c r="C855" s="314"/>
      <c r="D855" s="314"/>
      <c r="E855" s="313"/>
      <c r="F855" s="314"/>
    </row>
    <row r="856" spans="1:6">
      <c r="A856" s="314"/>
      <c r="B856" s="314"/>
      <c r="C856" s="314"/>
      <c r="D856" s="314"/>
      <c r="E856" s="313"/>
      <c r="F856" s="314"/>
    </row>
    <row r="857" spans="1:6">
      <c r="A857" s="314"/>
      <c r="B857" s="314"/>
      <c r="C857" s="314"/>
      <c r="D857" s="314"/>
      <c r="E857" s="313"/>
      <c r="F857" s="314"/>
    </row>
    <row r="858" spans="1:6">
      <c r="A858" s="314"/>
      <c r="B858" s="314"/>
      <c r="C858" s="314"/>
      <c r="D858" s="314"/>
      <c r="E858" s="313"/>
      <c r="F858" s="314"/>
    </row>
    <row r="859" spans="1:6">
      <c r="A859" s="314"/>
      <c r="B859" s="314"/>
      <c r="C859" s="314"/>
      <c r="D859" s="314"/>
      <c r="E859" s="313"/>
      <c r="F859" s="314"/>
    </row>
    <row r="860" spans="1:6">
      <c r="A860" s="314"/>
      <c r="B860" s="314"/>
      <c r="C860" s="314"/>
      <c r="D860" s="314"/>
      <c r="E860" s="313"/>
      <c r="F860" s="314"/>
    </row>
    <row r="861" spans="1:6">
      <c r="A861" s="314"/>
      <c r="B861" s="314"/>
      <c r="C861" s="314"/>
      <c r="D861" s="314"/>
      <c r="E861" s="313"/>
      <c r="F861" s="314"/>
    </row>
    <row r="862" spans="1:6">
      <c r="A862" s="314"/>
      <c r="B862" s="314"/>
      <c r="C862" s="314"/>
      <c r="D862" s="314"/>
      <c r="E862" s="313"/>
      <c r="F862" s="314"/>
    </row>
    <row r="863" spans="1:6">
      <c r="A863" s="314"/>
      <c r="B863" s="314"/>
      <c r="C863" s="314"/>
      <c r="D863" s="314"/>
      <c r="E863" s="313"/>
      <c r="F863" s="314"/>
    </row>
    <row r="864" spans="1:6">
      <c r="A864" s="314"/>
      <c r="B864" s="314"/>
      <c r="C864" s="314"/>
      <c r="D864" s="314"/>
      <c r="E864" s="313"/>
      <c r="F864" s="314"/>
    </row>
    <row r="865" spans="1:6">
      <c r="A865" s="314"/>
      <c r="B865" s="314"/>
      <c r="C865" s="314"/>
      <c r="D865" s="314"/>
      <c r="E865" s="313"/>
      <c r="F865" s="314"/>
    </row>
    <row r="866" spans="1:6">
      <c r="A866" s="314"/>
      <c r="B866" s="314"/>
      <c r="C866" s="314"/>
      <c r="D866" s="314"/>
      <c r="E866" s="313"/>
      <c r="F866" s="314"/>
    </row>
    <row r="867" spans="1:6">
      <c r="A867" s="314"/>
      <c r="B867" s="314"/>
      <c r="C867" s="314"/>
      <c r="D867" s="314"/>
      <c r="E867" s="313"/>
      <c r="F867" s="314"/>
    </row>
    <row r="868" spans="1:6">
      <c r="A868" s="314"/>
      <c r="B868" s="314"/>
      <c r="C868" s="314"/>
      <c r="D868" s="314"/>
      <c r="E868" s="313"/>
      <c r="F868" s="314"/>
    </row>
    <row r="869" spans="1:6">
      <c r="A869" s="314"/>
      <c r="B869" s="314"/>
      <c r="C869" s="314"/>
      <c r="D869" s="314"/>
      <c r="E869" s="313"/>
      <c r="F869" s="314"/>
    </row>
    <row r="870" spans="1:6">
      <c r="A870" s="314"/>
      <c r="B870" s="314"/>
      <c r="C870" s="314"/>
      <c r="D870" s="314"/>
      <c r="E870" s="313"/>
      <c r="F870" s="314"/>
    </row>
    <row r="871" spans="1:6">
      <c r="A871" s="314"/>
      <c r="B871" s="314"/>
      <c r="C871" s="314"/>
      <c r="D871" s="314"/>
      <c r="E871" s="313"/>
      <c r="F871" s="314"/>
    </row>
    <row r="872" spans="1:6">
      <c r="A872" s="314"/>
      <c r="B872" s="314"/>
      <c r="C872" s="314"/>
      <c r="D872" s="314"/>
      <c r="E872" s="313"/>
      <c r="F872" s="314"/>
    </row>
    <row r="873" spans="1:6">
      <c r="A873" s="314"/>
      <c r="B873" s="314"/>
      <c r="C873" s="314"/>
      <c r="D873" s="314"/>
      <c r="E873" s="313"/>
      <c r="F873" s="314"/>
    </row>
    <row r="874" spans="1:6">
      <c r="A874" s="314"/>
      <c r="B874" s="314"/>
      <c r="C874" s="314"/>
      <c r="D874" s="314"/>
      <c r="E874" s="313"/>
      <c r="F874" s="314"/>
    </row>
    <row r="875" spans="1:6">
      <c r="A875" s="314"/>
      <c r="B875" s="314"/>
      <c r="C875" s="314"/>
      <c r="D875" s="314"/>
      <c r="E875" s="313"/>
      <c r="F875" s="314"/>
    </row>
    <row r="876" spans="1:6">
      <c r="A876" s="314"/>
      <c r="B876" s="314"/>
      <c r="C876" s="314"/>
      <c r="D876" s="314"/>
      <c r="E876" s="313"/>
      <c r="F876" s="314"/>
    </row>
    <row r="877" spans="1:6">
      <c r="A877" s="314"/>
      <c r="B877" s="314"/>
      <c r="C877" s="314"/>
      <c r="D877" s="314"/>
      <c r="E877" s="313"/>
      <c r="F877" s="314"/>
    </row>
    <row r="878" spans="1:6">
      <c r="A878" s="314"/>
      <c r="B878" s="314"/>
      <c r="C878" s="314"/>
      <c r="D878" s="314"/>
      <c r="E878" s="313"/>
      <c r="F878" s="314"/>
    </row>
    <row r="879" spans="1:6">
      <c r="A879" s="314"/>
      <c r="B879" s="314"/>
      <c r="C879" s="314"/>
      <c r="D879" s="314"/>
      <c r="E879" s="313"/>
      <c r="F879" s="314"/>
    </row>
    <row r="880" spans="1:6">
      <c r="A880" s="314"/>
      <c r="B880" s="314"/>
      <c r="C880" s="314"/>
      <c r="D880" s="314"/>
      <c r="E880" s="313"/>
      <c r="F880" s="314"/>
    </row>
    <row r="881" spans="1:6">
      <c r="A881" s="314"/>
      <c r="B881" s="314"/>
      <c r="C881" s="314"/>
      <c r="D881" s="314"/>
      <c r="E881" s="313"/>
      <c r="F881" s="314"/>
    </row>
    <row r="882" spans="1:6">
      <c r="A882" s="314"/>
      <c r="B882" s="314"/>
      <c r="C882" s="314"/>
      <c r="D882" s="314"/>
      <c r="E882" s="313"/>
      <c r="F882" s="314"/>
    </row>
    <row r="883" spans="1:6">
      <c r="A883" s="314"/>
      <c r="B883" s="314"/>
      <c r="C883" s="314"/>
      <c r="D883" s="314"/>
      <c r="E883" s="313"/>
      <c r="F883" s="314"/>
    </row>
    <row r="884" spans="1:6">
      <c r="A884" s="314"/>
      <c r="B884" s="314"/>
      <c r="C884" s="314"/>
      <c r="D884" s="314"/>
      <c r="E884" s="313"/>
      <c r="F884" s="314"/>
    </row>
    <row r="885" spans="1:6">
      <c r="A885" s="314"/>
      <c r="B885" s="314"/>
      <c r="C885" s="314"/>
      <c r="D885" s="314"/>
      <c r="E885" s="313"/>
      <c r="F885" s="314"/>
    </row>
    <row r="886" spans="1:6">
      <c r="A886" s="314"/>
      <c r="B886" s="314"/>
      <c r="C886" s="314"/>
      <c r="D886" s="314"/>
      <c r="E886" s="313"/>
      <c r="F886" s="314"/>
    </row>
    <row r="887" spans="1:6">
      <c r="A887" s="314"/>
      <c r="B887" s="314"/>
      <c r="C887" s="314"/>
      <c r="D887" s="314"/>
      <c r="E887" s="313"/>
      <c r="F887" s="314"/>
    </row>
    <row r="888" spans="1:6">
      <c r="A888" s="314"/>
      <c r="B888" s="314"/>
      <c r="C888" s="314"/>
      <c r="D888" s="314"/>
      <c r="E888" s="313"/>
      <c r="F888" s="314"/>
    </row>
    <row r="889" spans="1:6">
      <c r="A889" s="314"/>
      <c r="B889" s="314"/>
      <c r="C889" s="314"/>
      <c r="D889" s="314"/>
      <c r="E889" s="313"/>
      <c r="F889" s="314"/>
    </row>
    <row r="890" spans="1:6">
      <c r="A890" s="314"/>
      <c r="B890" s="314"/>
      <c r="C890" s="314"/>
      <c r="D890" s="314"/>
      <c r="E890" s="313"/>
      <c r="F890" s="314"/>
    </row>
    <row r="891" spans="1:6">
      <c r="A891" s="314"/>
      <c r="B891" s="314"/>
      <c r="C891" s="314"/>
      <c r="D891" s="314"/>
      <c r="E891" s="313"/>
      <c r="F891" s="314"/>
    </row>
    <row r="892" spans="1:6">
      <c r="A892" s="314"/>
      <c r="B892" s="314"/>
      <c r="C892" s="314"/>
      <c r="D892" s="314"/>
      <c r="E892" s="313"/>
      <c r="F892" s="314"/>
    </row>
    <row r="893" spans="1:6">
      <c r="A893" s="314"/>
      <c r="B893" s="314"/>
      <c r="C893" s="314"/>
      <c r="D893" s="314"/>
      <c r="E893" s="313"/>
      <c r="F893" s="314"/>
    </row>
    <row r="894" spans="1:6">
      <c r="A894" s="314"/>
      <c r="B894" s="314"/>
      <c r="C894" s="314"/>
      <c r="D894" s="314"/>
      <c r="E894" s="313"/>
      <c r="F894" s="314"/>
    </row>
    <row r="895" spans="1:6">
      <c r="A895" s="314"/>
      <c r="B895" s="314"/>
      <c r="C895" s="314"/>
      <c r="D895" s="314"/>
      <c r="E895" s="313"/>
      <c r="F895" s="314"/>
    </row>
    <row r="896" spans="1:6">
      <c r="A896" s="314"/>
      <c r="B896" s="314"/>
      <c r="C896" s="314"/>
      <c r="D896" s="314"/>
      <c r="E896" s="313"/>
      <c r="F896" s="314"/>
    </row>
    <row r="897" spans="1:6">
      <c r="A897" s="314"/>
      <c r="B897" s="314"/>
      <c r="C897" s="314"/>
      <c r="D897" s="314"/>
      <c r="E897" s="313"/>
      <c r="F897" s="314"/>
    </row>
    <row r="898" spans="1:6">
      <c r="A898" s="314"/>
      <c r="B898" s="314"/>
      <c r="C898" s="314"/>
      <c r="D898" s="314"/>
      <c r="E898" s="313"/>
      <c r="F898" s="314"/>
    </row>
    <row r="899" spans="1:6">
      <c r="A899" s="314"/>
      <c r="B899" s="314"/>
      <c r="C899" s="314"/>
      <c r="D899" s="314"/>
      <c r="E899" s="313"/>
      <c r="F899" s="314"/>
    </row>
    <row r="900" spans="1:6">
      <c r="A900" s="314"/>
      <c r="B900" s="314"/>
      <c r="C900" s="314"/>
      <c r="D900" s="314"/>
      <c r="E900" s="313"/>
      <c r="F900" s="314"/>
    </row>
    <row r="901" spans="1:6">
      <c r="A901" s="314"/>
      <c r="B901" s="314"/>
      <c r="C901" s="314"/>
      <c r="D901" s="314"/>
      <c r="E901" s="313"/>
      <c r="F901" s="314"/>
    </row>
    <row r="902" spans="1:6">
      <c r="A902" s="314"/>
      <c r="B902" s="314"/>
      <c r="C902" s="314"/>
      <c r="D902" s="314"/>
      <c r="E902" s="313"/>
      <c r="F902" s="314"/>
    </row>
    <row r="903" spans="1:6">
      <c r="A903" s="314"/>
      <c r="B903" s="314"/>
      <c r="C903" s="314"/>
      <c r="D903" s="314"/>
      <c r="E903" s="313"/>
      <c r="F903" s="314"/>
    </row>
    <row r="904" spans="1:6">
      <c r="A904" s="314"/>
      <c r="B904" s="314"/>
      <c r="C904" s="314"/>
      <c r="D904" s="314"/>
      <c r="E904" s="313"/>
      <c r="F904" s="314"/>
    </row>
    <row r="905" spans="1:6">
      <c r="A905" s="314"/>
      <c r="B905" s="314"/>
      <c r="C905" s="314"/>
      <c r="D905" s="314"/>
      <c r="E905" s="313"/>
      <c r="F905" s="314"/>
    </row>
    <row r="906" spans="1:6">
      <c r="A906" s="314"/>
      <c r="B906" s="314"/>
      <c r="C906" s="314"/>
      <c r="D906" s="314"/>
      <c r="E906" s="313"/>
      <c r="F906" s="314"/>
    </row>
    <row r="907" spans="1:6">
      <c r="A907" s="314"/>
      <c r="B907" s="314"/>
      <c r="C907" s="314"/>
      <c r="D907" s="314"/>
      <c r="E907" s="313"/>
      <c r="F907" s="314"/>
    </row>
    <row r="908" spans="1:6">
      <c r="A908" s="314"/>
      <c r="B908" s="314"/>
      <c r="C908" s="314"/>
      <c r="D908" s="314"/>
      <c r="E908" s="313"/>
      <c r="F908" s="314"/>
    </row>
    <row r="909" spans="1:6">
      <c r="A909" s="314"/>
      <c r="B909" s="314"/>
      <c r="C909" s="314"/>
      <c r="D909" s="314"/>
      <c r="E909" s="313"/>
      <c r="F909" s="314"/>
    </row>
    <row r="910" spans="1:6">
      <c r="A910" s="314"/>
      <c r="B910" s="314"/>
      <c r="C910" s="314"/>
      <c r="D910" s="314"/>
      <c r="E910" s="313"/>
      <c r="F910" s="314"/>
    </row>
    <row r="911" spans="1:6">
      <c r="A911" s="314"/>
      <c r="B911" s="314"/>
      <c r="C911" s="314"/>
      <c r="D911" s="314"/>
      <c r="E911" s="313"/>
      <c r="F911" s="314"/>
    </row>
    <row r="912" spans="1:6">
      <c r="A912" s="314"/>
      <c r="B912" s="314"/>
      <c r="C912" s="314"/>
      <c r="D912" s="314"/>
      <c r="E912" s="313"/>
      <c r="F912" s="314"/>
    </row>
    <row r="913" spans="1:6">
      <c r="A913" s="314"/>
      <c r="B913" s="314"/>
      <c r="C913" s="314"/>
      <c r="D913" s="314"/>
      <c r="E913" s="313"/>
      <c r="F913" s="314"/>
    </row>
    <row r="914" spans="1:6">
      <c r="A914" s="314"/>
      <c r="B914" s="314"/>
      <c r="C914" s="314"/>
      <c r="D914" s="314"/>
      <c r="E914" s="313"/>
      <c r="F914" s="314"/>
    </row>
    <row r="915" spans="1:6">
      <c r="A915" s="314"/>
      <c r="B915" s="314"/>
      <c r="C915" s="314"/>
      <c r="D915" s="314"/>
      <c r="E915" s="313"/>
      <c r="F915" s="314"/>
    </row>
    <row r="916" spans="1:6">
      <c r="A916" s="314"/>
      <c r="B916" s="314"/>
      <c r="C916" s="314"/>
      <c r="D916" s="314"/>
      <c r="E916" s="313"/>
      <c r="F916" s="314"/>
    </row>
    <row r="917" spans="1:6">
      <c r="A917" s="314"/>
      <c r="B917" s="314"/>
      <c r="C917" s="314"/>
      <c r="D917" s="314"/>
      <c r="E917" s="313"/>
      <c r="F917" s="314"/>
    </row>
    <row r="918" spans="1:6">
      <c r="A918" s="314"/>
      <c r="B918" s="314"/>
      <c r="C918" s="314"/>
      <c r="D918" s="314"/>
      <c r="E918" s="313"/>
      <c r="F918" s="314"/>
    </row>
    <row r="919" spans="1:6">
      <c r="A919" s="314"/>
      <c r="B919" s="314"/>
      <c r="C919" s="314"/>
      <c r="D919" s="314"/>
      <c r="E919" s="313"/>
      <c r="F919" s="314"/>
    </row>
    <row r="920" spans="1:6">
      <c r="A920" s="314"/>
      <c r="B920" s="314"/>
      <c r="C920" s="314"/>
      <c r="D920" s="314"/>
      <c r="E920" s="313"/>
      <c r="F920" s="314"/>
    </row>
    <row r="921" spans="1:6">
      <c r="A921" s="314"/>
      <c r="B921" s="314"/>
      <c r="C921" s="314"/>
      <c r="D921" s="314"/>
      <c r="E921" s="313"/>
      <c r="F921" s="314"/>
    </row>
    <row r="922" spans="1:6">
      <c r="A922" s="314"/>
      <c r="B922" s="314"/>
      <c r="C922" s="314"/>
      <c r="D922" s="314"/>
      <c r="E922" s="313"/>
      <c r="F922" s="314"/>
    </row>
    <row r="923" spans="1:6">
      <c r="A923" s="314"/>
      <c r="B923" s="314"/>
      <c r="C923" s="314"/>
      <c r="D923" s="314"/>
      <c r="E923" s="313"/>
      <c r="F923" s="314"/>
    </row>
    <row r="924" spans="1:6">
      <c r="A924" s="314"/>
      <c r="B924" s="314"/>
      <c r="C924" s="314"/>
      <c r="D924" s="314"/>
      <c r="E924" s="313"/>
      <c r="F924" s="314"/>
    </row>
    <row r="925" spans="1:6">
      <c r="A925" s="314"/>
      <c r="B925" s="314"/>
      <c r="C925" s="314"/>
      <c r="D925" s="314"/>
      <c r="E925" s="313"/>
      <c r="F925" s="314"/>
    </row>
    <row r="926" spans="1:6">
      <c r="A926" s="314"/>
      <c r="B926" s="314"/>
      <c r="C926" s="314"/>
      <c r="D926" s="314"/>
      <c r="E926" s="313"/>
      <c r="F926" s="314"/>
    </row>
    <row r="927" spans="1:6">
      <c r="A927" s="314"/>
      <c r="B927" s="314"/>
      <c r="C927" s="314"/>
      <c r="D927" s="314"/>
      <c r="E927" s="313"/>
      <c r="F927" s="314"/>
    </row>
    <row r="928" spans="1:6">
      <c r="A928" s="314"/>
      <c r="B928" s="314"/>
      <c r="C928" s="314"/>
      <c r="D928" s="314"/>
      <c r="E928" s="313"/>
      <c r="F928" s="314"/>
    </row>
    <row r="929" spans="1:6">
      <c r="A929" s="314"/>
      <c r="B929" s="314"/>
      <c r="C929" s="314"/>
      <c r="D929" s="314"/>
      <c r="E929" s="313"/>
      <c r="F929" s="314"/>
    </row>
    <row r="930" spans="1:6">
      <c r="A930" s="314"/>
      <c r="B930" s="314"/>
      <c r="C930" s="314"/>
      <c r="D930" s="314"/>
      <c r="E930" s="313"/>
      <c r="F930" s="314"/>
    </row>
    <row r="931" spans="1:6">
      <c r="A931" s="314"/>
      <c r="B931" s="314"/>
      <c r="C931" s="314"/>
      <c r="D931" s="314"/>
      <c r="E931" s="313"/>
      <c r="F931" s="314"/>
    </row>
    <row r="932" spans="1:6">
      <c r="A932" s="314"/>
      <c r="B932" s="314"/>
      <c r="C932" s="314"/>
      <c r="D932" s="314"/>
      <c r="E932" s="313"/>
      <c r="F932" s="314"/>
    </row>
    <row r="933" spans="1:6">
      <c r="A933" s="314"/>
      <c r="B933" s="314"/>
      <c r="C933" s="314"/>
      <c r="D933" s="314"/>
      <c r="E933" s="313"/>
      <c r="F933" s="314"/>
    </row>
    <row r="934" spans="1:6">
      <c r="A934" s="314"/>
      <c r="B934" s="314"/>
      <c r="C934" s="314"/>
      <c r="D934" s="314"/>
      <c r="E934" s="313"/>
      <c r="F934" s="314"/>
    </row>
    <row r="935" spans="1:6">
      <c r="A935" s="314"/>
      <c r="B935" s="314"/>
      <c r="C935" s="314"/>
      <c r="D935" s="314"/>
      <c r="E935" s="313"/>
      <c r="F935" s="314"/>
    </row>
    <row r="936" spans="1:6">
      <c r="A936" s="314"/>
      <c r="B936" s="314"/>
      <c r="C936" s="314"/>
      <c r="D936" s="314"/>
      <c r="E936" s="313"/>
      <c r="F936" s="314"/>
    </row>
    <row r="937" spans="1:6">
      <c r="A937" s="314"/>
      <c r="B937" s="314"/>
      <c r="C937" s="314"/>
      <c r="D937" s="314"/>
      <c r="E937" s="313"/>
      <c r="F937" s="314"/>
    </row>
    <row r="938" spans="1:6">
      <c r="A938" s="314"/>
      <c r="B938" s="314"/>
      <c r="C938" s="314"/>
      <c r="D938" s="314"/>
      <c r="E938" s="313"/>
      <c r="F938" s="314"/>
    </row>
    <row r="939" spans="1:6">
      <c r="A939" s="314"/>
      <c r="B939" s="314"/>
      <c r="C939" s="314"/>
      <c r="D939" s="314"/>
      <c r="E939" s="313"/>
      <c r="F939" s="314"/>
    </row>
    <row r="940" spans="1:6">
      <c r="A940" s="314"/>
      <c r="B940" s="314"/>
      <c r="C940" s="314"/>
      <c r="D940" s="314"/>
      <c r="E940" s="313"/>
      <c r="F940" s="314"/>
    </row>
    <row r="941" spans="1:6">
      <c r="A941" s="314"/>
      <c r="B941" s="314"/>
      <c r="C941" s="314"/>
      <c r="D941" s="314"/>
      <c r="E941" s="313"/>
      <c r="F941" s="314"/>
    </row>
    <row r="942" spans="1:6">
      <c r="A942" s="314"/>
      <c r="B942" s="314"/>
      <c r="C942" s="314"/>
      <c r="D942" s="314"/>
      <c r="E942" s="313"/>
      <c r="F942" s="314"/>
    </row>
    <row r="943" spans="1:6">
      <c r="A943" s="314"/>
      <c r="B943" s="314"/>
      <c r="C943" s="314"/>
      <c r="D943" s="314"/>
      <c r="E943" s="313"/>
      <c r="F943" s="314"/>
    </row>
    <row r="944" spans="1:6">
      <c r="A944" s="314"/>
      <c r="B944" s="314"/>
      <c r="C944" s="314"/>
      <c r="D944" s="314"/>
      <c r="E944" s="313"/>
      <c r="F944" s="314"/>
    </row>
    <row r="945" spans="1:6">
      <c r="A945" s="314"/>
      <c r="B945" s="314"/>
      <c r="C945" s="314"/>
      <c r="D945" s="314"/>
      <c r="E945" s="313"/>
      <c r="F945" s="314"/>
    </row>
    <row r="946" spans="1:6">
      <c r="A946" s="314"/>
      <c r="B946" s="314"/>
      <c r="C946" s="314"/>
      <c r="D946" s="314"/>
      <c r="E946" s="313"/>
      <c r="F946" s="314"/>
    </row>
    <row r="947" spans="1:6">
      <c r="A947" s="314"/>
      <c r="B947" s="314"/>
      <c r="C947" s="314"/>
      <c r="D947" s="314"/>
      <c r="E947" s="313"/>
      <c r="F947" s="314"/>
    </row>
    <row r="948" spans="1:6">
      <c r="A948" s="314"/>
      <c r="B948" s="314"/>
      <c r="C948" s="314"/>
      <c r="D948" s="314"/>
      <c r="E948" s="313"/>
      <c r="F948" s="314"/>
    </row>
    <row r="949" spans="1:6">
      <c r="A949" s="314"/>
      <c r="B949" s="314"/>
      <c r="C949" s="314"/>
      <c r="D949" s="314"/>
      <c r="E949" s="313"/>
      <c r="F949" s="314"/>
    </row>
    <row r="950" spans="1:6">
      <c r="A950" s="314"/>
      <c r="B950" s="314"/>
      <c r="C950" s="314"/>
      <c r="D950" s="314"/>
      <c r="E950" s="313"/>
      <c r="F950" s="314"/>
    </row>
    <row r="951" spans="1:6">
      <c r="A951" s="314"/>
      <c r="B951" s="314"/>
      <c r="C951" s="314"/>
      <c r="D951" s="314"/>
      <c r="E951" s="313"/>
      <c r="F951" s="314"/>
    </row>
    <row r="952" spans="1:6">
      <c r="A952" s="314"/>
      <c r="B952" s="314"/>
      <c r="C952" s="314"/>
      <c r="D952" s="314"/>
      <c r="E952" s="313"/>
      <c r="F952" s="314"/>
    </row>
    <row r="953" spans="1:6">
      <c r="A953" s="314"/>
      <c r="B953" s="314"/>
      <c r="C953" s="314"/>
      <c r="D953" s="314"/>
      <c r="E953" s="313"/>
      <c r="F953" s="314"/>
    </row>
    <row r="954" spans="1:6">
      <c r="A954" s="314"/>
      <c r="B954" s="314"/>
      <c r="C954" s="314"/>
      <c r="D954" s="314"/>
      <c r="E954" s="313"/>
      <c r="F954" s="314"/>
    </row>
    <row r="955" spans="1:6">
      <c r="A955" s="314"/>
      <c r="B955" s="314"/>
      <c r="C955" s="314"/>
      <c r="D955" s="314"/>
      <c r="E955" s="313"/>
      <c r="F955" s="314"/>
    </row>
    <row r="956" spans="1:6">
      <c r="A956" s="314"/>
      <c r="B956" s="314"/>
      <c r="C956" s="314"/>
      <c r="D956" s="314"/>
      <c r="E956" s="313"/>
      <c r="F956" s="314"/>
    </row>
    <row r="957" spans="1:6">
      <c r="A957" s="314"/>
      <c r="B957" s="314"/>
      <c r="C957" s="314"/>
      <c r="D957" s="314"/>
      <c r="E957" s="313"/>
      <c r="F957" s="314"/>
    </row>
    <row r="958" spans="1:6">
      <c r="A958" s="314"/>
      <c r="B958" s="314"/>
      <c r="C958" s="314"/>
      <c r="D958" s="314"/>
      <c r="E958" s="313"/>
      <c r="F958" s="314"/>
    </row>
    <row r="959" spans="1:6">
      <c r="A959" s="314"/>
      <c r="B959" s="314"/>
      <c r="C959" s="314"/>
      <c r="D959" s="314"/>
      <c r="E959" s="313"/>
      <c r="F959" s="314"/>
    </row>
    <row r="960" spans="1:6">
      <c r="A960" s="314"/>
      <c r="B960" s="314"/>
      <c r="C960" s="314"/>
      <c r="D960" s="314"/>
      <c r="E960" s="313"/>
      <c r="F960" s="314"/>
    </row>
    <row r="961" spans="1:6">
      <c r="A961" s="314"/>
      <c r="B961" s="314"/>
      <c r="C961" s="314"/>
      <c r="D961" s="314"/>
      <c r="E961" s="313"/>
      <c r="F961" s="314"/>
    </row>
    <row r="962" spans="1:6">
      <c r="A962" s="314"/>
      <c r="B962" s="314"/>
      <c r="C962" s="314"/>
      <c r="D962" s="314"/>
      <c r="E962" s="313"/>
      <c r="F962" s="314"/>
    </row>
    <row r="963" spans="1:6">
      <c r="A963" s="314"/>
      <c r="B963" s="314"/>
      <c r="C963" s="314"/>
      <c r="D963" s="314"/>
      <c r="E963" s="313"/>
      <c r="F963" s="314"/>
    </row>
    <row r="964" spans="1:6">
      <c r="A964" s="314"/>
      <c r="B964" s="314"/>
      <c r="C964" s="314"/>
      <c r="D964" s="314"/>
      <c r="E964" s="313"/>
      <c r="F964" s="314"/>
    </row>
    <row r="965" spans="1:6">
      <c r="A965" s="314"/>
      <c r="B965" s="314"/>
      <c r="C965" s="314"/>
      <c r="D965" s="314"/>
      <c r="E965" s="313"/>
      <c r="F965" s="314"/>
    </row>
    <row r="966" spans="1:6">
      <c r="A966" s="314"/>
      <c r="B966" s="314"/>
      <c r="C966" s="314"/>
      <c r="D966" s="314"/>
      <c r="E966" s="313"/>
      <c r="F966" s="314"/>
    </row>
    <row r="967" spans="1:6">
      <c r="A967" s="314"/>
      <c r="B967" s="314"/>
      <c r="C967" s="314"/>
      <c r="D967" s="314"/>
      <c r="E967" s="313"/>
      <c r="F967" s="314"/>
    </row>
    <row r="968" spans="1:6">
      <c r="A968" s="314"/>
      <c r="B968" s="314"/>
      <c r="C968" s="314"/>
      <c r="D968" s="314"/>
      <c r="E968" s="313"/>
      <c r="F968" s="314"/>
    </row>
    <row r="969" spans="1:6">
      <c r="A969" s="314"/>
      <c r="B969" s="314"/>
      <c r="C969" s="314"/>
      <c r="D969" s="314"/>
      <c r="E969" s="313"/>
      <c r="F969" s="314"/>
    </row>
    <row r="970" spans="1:6">
      <c r="A970" s="314"/>
      <c r="B970" s="314"/>
      <c r="C970" s="314"/>
      <c r="D970" s="314"/>
      <c r="E970" s="313"/>
      <c r="F970" s="314"/>
    </row>
    <row r="971" spans="1:6">
      <c r="A971" s="314"/>
      <c r="B971" s="314"/>
      <c r="C971" s="314"/>
      <c r="D971" s="314"/>
      <c r="E971" s="313"/>
      <c r="F971" s="314"/>
    </row>
    <row r="972" spans="1:6">
      <c r="A972" s="314"/>
      <c r="B972" s="314"/>
      <c r="C972" s="314"/>
      <c r="D972" s="314"/>
      <c r="E972" s="313"/>
      <c r="F972" s="314"/>
    </row>
    <row r="973" spans="1:6">
      <c r="A973" s="314"/>
      <c r="B973" s="314"/>
      <c r="C973" s="314"/>
      <c r="D973" s="314"/>
      <c r="E973" s="313"/>
      <c r="F973" s="314"/>
    </row>
    <row r="974" spans="1:6">
      <c r="A974" s="314"/>
      <c r="B974" s="314"/>
      <c r="C974" s="314"/>
      <c r="D974" s="314"/>
      <c r="E974" s="313"/>
      <c r="F974" s="314"/>
    </row>
    <row r="975" spans="1:6">
      <c r="A975" s="314"/>
      <c r="B975" s="314"/>
      <c r="C975" s="314"/>
      <c r="D975" s="314"/>
      <c r="E975" s="313"/>
      <c r="F975" s="314"/>
    </row>
    <row r="976" spans="1:6">
      <c r="A976" s="314"/>
      <c r="B976" s="314"/>
      <c r="C976" s="314"/>
      <c r="D976" s="314"/>
      <c r="E976" s="313"/>
      <c r="F976" s="314"/>
    </row>
    <row r="977" spans="1:6">
      <c r="A977" s="314"/>
      <c r="B977" s="314"/>
      <c r="C977" s="314"/>
      <c r="D977" s="314"/>
      <c r="E977" s="313"/>
      <c r="F977" s="314"/>
    </row>
    <row r="978" spans="1:6">
      <c r="A978" s="314"/>
      <c r="B978" s="314"/>
      <c r="C978" s="314"/>
      <c r="D978" s="314"/>
      <c r="E978" s="313"/>
      <c r="F978" s="314"/>
    </row>
    <row r="979" spans="1:6">
      <c r="A979" s="314"/>
      <c r="B979" s="314"/>
      <c r="C979" s="314"/>
      <c r="D979" s="314"/>
      <c r="E979" s="313"/>
      <c r="F979" s="314"/>
    </row>
    <row r="980" spans="1:6">
      <c r="A980" s="314"/>
      <c r="B980" s="314"/>
      <c r="C980" s="314"/>
      <c r="D980" s="314"/>
      <c r="E980" s="313"/>
      <c r="F980" s="314"/>
    </row>
    <row r="981" spans="1:6">
      <c r="A981" s="314"/>
      <c r="B981" s="314"/>
      <c r="C981" s="314"/>
      <c r="D981" s="314"/>
      <c r="E981" s="313"/>
      <c r="F981" s="314"/>
    </row>
    <row r="982" spans="1:6">
      <c r="A982" s="314"/>
      <c r="B982" s="314"/>
      <c r="C982" s="314"/>
      <c r="D982" s="314"/>
      <c r="E982" s="313"/>
      <c r="F982" s="314"/>
    </row>
    <row r="983" spans="1:6">
      <c r="A983" s="314"/>
      <c r="B983" s="314"/>
      <c r="C983" s="314"/>
      <c r="D983" s="314"/>
      <c r="E983" s="313"/>
      <c r="F983" s="314"/>
    </row>
    <row r="984" spans="1:6">
      <c r="A984" s="314"/>
      <c r="B984" s="314"/>
      <c r="C984" s="314"/>
      <c r="D984" s="314"/>
      <c r="E984" s="313"/>
      <c r="F984" s="314"/>
    </row>
    <row r="985" spans="1:6">
      <c r="A985" s="314"/>
      <c r="B985" s="314"/>
      <c r="C985" s="314"/>
      <c r="D985" s="314"/>
      <c r="E985" s="313"/>
      <c r="F985" s="314"/>
    </row>
    <row r="986" spans="1:6">
      <c r="A986" s="314"/>
      <c r="B986" s="314"/>
      <c r="C986" s="314"/>
      <c r="D986" s="314"/>
      <c r="E986" s="313"/>
      <c r="F986" s="314"/>
    </row>
    <row r="987" spans="1:6">
      <c r="A987" s="314"/>
      <c r="B987" s="314"/>
      <c r="C987" s="314"/>
      <c r="D987" s="314"/>
      <c r="E987" s="313"/>
      <c r="F987" s="314"/>
    </row>
    <row r="988" spans="1:6">
      <c r="A988" s="314"/>
      <c r="B988" s="314"/>
      <c r="C988" s="314"/>
      <c r="D988" s="314"/>
      <c r="E988" s="313"/>
      <c r="F988" s="314"/>
    </row>
    <row r="989" spans="1:6">
      <c r="A989" s="314"/>
      <c r="B989" s="314"/>
      <c r="C989" s="314"/>
      <c r="D989" s="314"/>
      <c r="E989" s="313"/>
      <c r="F989" s="314"/>
    </row>
    <row r="990" spans="1:6">
      <c r="A990" s="314"/>
      <c r="B990" s="314"/>
      <c r="C990" s="314"/>
      <c r="D990" s="314"/>
      <c r="E990" s="313"/>
      <c r="F990" s="314"/>
    </row>
    <row r="991" spans="1:6">
      <c r="A991" s="314"/>
      <c r="B991" s="314"/>
      <c r="C991" s="314"/>
      <c r="D991" s="314"/>
      <c r="E991" s="313"/>
      <c r="F991" s="314"/>
    </row>
    <row r="992" spans="1:6">
      <c r="A992" s="314"/>
      <c r="B992" s="314"/>
      <c r="C992" s="314"/>
      <c r="D992" s="314"/>
      <c r="E992" s="313"/>
      <c r="F992" s="314"/>
    </row>
    <row r="993" spans="1:6">
      <c r="A993" s="314"/>
      <c r="B993" s="314"/>
      <c r="C993" s="314"/>
      <c r="D993" s="314"/>
      <c r="E993" s="313"/>
      <c r="F993" s="314"/>
    </row>
    <row r="994" spans="1:6">
      <c r="A994" s="314"/>
      <c r="B994" s="314"/>
      <c r="C994" s="314"/>
      <c r="D994" s="314"/>
      <c r="E994" s="313"/>
      <c r="F994" s="314"/>
    </row>
    <row r="995" spans="1:6">
      <c r="A995" s="314"/>
      <c r="B995" s="314"/>
      <c r="C995" s="314"/>
      <c r="D995" s="314"/>
      <c r="E995" s="313"/>
      <c r="F995" s="314"/>
    </row>
    <row r="996" spans="1:6">
      <c r="A996" s="314"/>
      <c r="B996" s="314"/>
      <c r="C996" s="314"/>
      <c r="D996" s="314"/>
      <c r="E996" s="313"/>
      <c r="F996" s="314"/>
    </row>
    <row r="997" spans="1:6">
      <c r="A997" s="314"/>
      <c r="B997" s="314"/>
      <c r="C997" s="314"/>
      <c r="D997" s="314"/>
      <c r="E997" s="313"/>
      <c r="F997" s="314"/>
    </row>
    <row r="998" spans="1:6">
      <c r="A998" s="314"/>
      <c r="B998" s="314"/>
      <c r="C998" s="314"/>
      <c r="D998" s="314"/>
      <c r="E998" s="313"/>
      <c r="F998" s="314"/>
    </row>
    <row r="999" spans="1:6">
      <c r="A999" s="314"/>
      <c r="B999" s="314"/>
      <c r="C999" s="314"/>
      <c r="D999" s="314"/>
      <c r="E999" s="313"/>
      <c r="F999" s="314"/>
    </row>
    <row r="1000" spans="1:6">
      <c r="A1000" s="314"/>
      <c r="B1000" s="314"/>
      <c r="C1000" s="314"/>
      <c r="D1000" s="314"/>
      <c r="E1000" s="313"/>
      <c r="F1000" s="314"/>
    </row>
    <row r="1001" spans="1:6">
      <c r="A1001" s="314"/>
      <c r="B1001" s="314"/>
      <c r="C1001" s="314"/>
      <c r="D1001" s="314"/>
      <c r="E1001" s="313"/>
      <c r="F1001" s="314"/>
    </row>
    <row r="1002" spans="1:6">
      <c r="A1002" s="314"/>
      <c r="B1002" s="314"/>
      <c r="C1002" s="314"/>
      <c r="D1002" s="314"/>
      <c r="E1002" s="313"/>
      <c r="F1002" s="314"/>
    </row>
    <row r="1003" spans="1:6">
      <c r="A1003" s="314"/>
      <c r="B1003" s="314"/>
      <c r="C1003" s="314"/>
      <c r="D1003" s="314"/>
      <c r="E1003" s="313"/>
      <c r="F1003" s="314"/>
    </row>
    <row r="1004" spans="1:6">
      <c r="A1004" s="314"/>
      <c r="B1004" s="314"/>
      <c r="C1004" s="314"/>
      <c r="D1004" s="314"/>
      <c r="E1004" s="313"/>
      <c r="F1004" s="314"/>
    </row>
    <row r="1005" spans="1:6">
      <c r="A1005" s="314"/>
      <c r="B1005" s="314"/>
      <c r="C1005" s="314"/>
      <c r="D1005" s="314"/>
      <c r="E1005" s="313"/>
      <c r="F1005" s="314"/>
    </row>
    <row r="1006" spans="1:6">
      <c r="A1006" s="314"/>
      <c r="B1006" s="314"/>
      <c r="C1006" s="314"/>
      <c r="D1006" s="314"/>
      <c r="E1006" s="313"/>
      <c r="F1006" s="314"/>
    </row>
    <row r="1007" spans="1:6">
      <c r="A1007" s="314"/>
      <c r="B1007" s="314"/>
      <c r="C1007" s="314"/>
      <c r="D1007" s="314"/>
      <c r="E1007" s="313"/>
      <c r="F1007" s="314"/>
    </row>
    <row r="1008" spans="1:6">
      <c r="A1008" s="314"/>
      <c r="B1008" s="314"/>
      <c r="C1008" s="314"/>
      <c r="D1008" s="314"/>
      <c r="E1008" s="313"/>
      <c r="F1008" s="314"/>
    </row>
    <row r="1009" spans="1:6">
      <c r="A1009" s="314"/>
      <c r="B1009" s="314"/>
      <c r="C1009" s="314"/>
      <c r="D1009" s="314"/>
      <c r="E1009" s="313"/>
      <c r="F1009" s="314"/>
    </row>
    <row r="1010" spans="1:6">
      <c r="A1010" s="314"/>
      <c r="B1010" s="314"/>
      <c r="C1010" s="314"/>
      <c r="D1010" s="314"/>
      <c r="E1010" s="313"/>
      <c r="F1010" s="314"/>
    </row>
    <row r="1011" spans="1:6">
      <c r="A1011" s="314"/>
      <c r="B1011" s="314"/>
      <c r="C1011" s="314"/>
      <c r="D1011" s="314"/>
      <c r="E1011" s="313"/>
      <c r="F1011" s="314"/>
    </row>
    <row r="1012" spans="1:6">
      <c r="A1012" s="314"/>
      <c r="B1012" s="314"/>
      <c r="C1012" s="314"/>
      <c r="D1012" s="314"/>
      <c r="E1012" s="313"/>
      <c r="F1012" s="314"/>
    </row>
    <row r="1013" spans="1:6">
      <c r="A1013" s="314"/>
      <c r="B1013" s="314"/>
      <c r="C1013" s="314"/>
      <c r="D1013" s="314"/>
      <c r="E1013" s="313"/>
      <c r="F1013" s="314"/>
    </row>
    <row r="1014" spans="1:6">
      <c r="A1014" s="314"/>
      <c r="B1014" s="314"/>
      <c r="C1014" s="314"/>
      <c r="D1014" s="314"/>
      <c r="E1014" s="313"/>
      <c r="F1014" s="314"/>
    </row>
    <row r="1015" spans="1:6">
      <c r="A1015" s="314"/>
      <c r="B1015" s="314"/>
      <c r="C1015" s="314"/>
      <c r="D1015" s="314"/>
      <c r="E1015" s="313"/>
      <c r="F1015" s="314"/>
    </row>
    <row r="1016" spans="1:6">
      <c r="A1016" s="314"/>
      <c r="B1016" s="314"/>
      <c r="C1016" s="314"/>
      <c r="D1016" s="314"/>
      <c r="E1016" s="313"/>
      <c r="F1016" s="314"/>
    </row>
    <row r="1017" spans="1:6">
      <c r="A1017" s="314"/>
      <c r="B1017" s="314"/>
      <c r="C1017" s="314"/>
      <c r="D1017" s="314"/>
      <c r="E1017" s="313"/>
      <c r="F1017" s="314"/>
    </row>
    <row r="1018" spans="1:6">
      <c r="A1018" s="314"/>
      <c r="B1018" s="314"/>
      <c r="C1018" s="314"/>
      <c r="D1018" s="314"/>
      <c r="E1018" s="313"/>
      <c r="F1018" s="314"/>
    </row>
    <row r="1019" spans="1:6">
      <c r="A1019" s="314"/>
      <c r="B1019" s="314"/>
      <c r="C1019" s="314"/>
      <c r="D1019" s="314"/>
      <c r="E1019" s="313"/>
      <c r="F1019" s="314"/>
    </row>
    <row r="1020" spans="1:6">
      <c r="A1020" s="314"/>
      <c r="B1020" s="314"/>
      <c r="C1020" s="314"/>
      <c r="D1020" s="314"/>
      <c r="E1020" s="313"/>
      <c r="F1020" s="314"/>
    </row>
    <row r="1021" spans="1:6">
      <c r="A1021" s="314"/>
      <c r="B1021" s="314"/>
      <c r="C1021" s="314"/>
      <c r="D1021" s="314"/>
      <c r="E1021" s="313"/>
      <c r="F1021" s="314"/>
    </row>
    <row r="1022" spans="1:6">
      <c r="A1022" s="314"/>
      <c r="B1022" s="314"/>
      <c r="C1022" s="314"/>
      <c r="D1022" s="314"/>
      <c r="E1022" s="313"/>
      <c r="F1022" s="314"/>
    </row>
    <row r="1023" spans="1:6">
      <c r="A1023" s="314"/>
      <c r="B1023" s="314"/>
      <c r="C1023" s="314"/>
      <c r="D1023" s="314"/>
      <c r="E1023" s="313"/>
      <c r="F1023" s="314"/>
    </row>
    <row r="1024" spans="1:6">
      <c r="A1024" s="314"/>
      <c r="B1024" s="314"/>
      <c r="C1024" s="314"/>
      <c r="D1024" s="314"/>
      <c r="E1024" s="313"/>
      <c r="F1024" s="314"/>
    </row>
    <row r="1025" spans="1:6">
      <c r="A1025" s="314"/>
      <c r="B1025" s="314"/>
      <c r="C1025" s="314"/>
      <c r="D1025" s="314"/>
      <c r="E1025" s="313"/>
      <c r="F1025" s="314"/>
    </row>
    <row r="1026" spans="1:6">
      <c r="A1026" s="314"/>
      <c r="B1026" s="314"/>
      <c r="C1026" s="314"/>
      <c r="D1026" s="314"/>
      <c r="E1026" s="313"/>
      <c r="F1026" s="314"/>
    </row>
    <row r="1027" spans="1:6">
      <c r="A1027" s="314"/>
      <c r="B1027" s="314"/>
      <c r="C1027" s="314"/>
      <c r="D1027" s="314"/>
      <c r="E1027" s="313"/>
      <c r="F1027" s="314"/>
    </row>
    <row r="1028" spans="1:6">
      <c r="A1028" s="314"/>
      <c r="B1028" s="314"/>
      <c r="C1028" s="314"/>
      <c r="D1028" s="314"/>
      <c r="E1028" s="313"/>
      <c r="F1028" s="314"/>
    </row>
    <row r="1029" spans="1:6">
      <c r="A1029" s="314"/>
      <c r="B1029" s="314"/>
      <c r="C1029" s="314"/>
      <c r="D1029" s="314"/>
      <c r="E1029" s="313"/>
      <c r="F1029" s="314"/>
    </row>
    <row r="1030" spans="1:6">
      <c r="A1030" s="314"/>
      <c r="B1030" s="314"/>
      <c r="C1030" s="314"/>
      <c r="D1030" s="314"/>
      <c r="E1030" s="313"/>
      <c r="F1030" s="314"/>
    </row>
    <row r="1031" spans="1:6">
      <c r="A1031" s="314"/>
      <c r="B1031" s="314"/>
      <c r="C1031" s="314"/>
      <c r="D1031" s="314"/>
      <c r="E1031" s="313"/>
      <c r="F1031" s="314"/>
    </row>
    <row r="1032" spans="1:6">
      <c r="A1032" s="314"/>
      <c r="B1032" s="314"/>
      <c r="C1032" s="314"/>
      <c r="D1032" s="314"/>
      <c r="E1032" s="313"/>
      <c r="F1032" s="314"/>
    </row>
    <row r="1033" spans="1:6">
      <c r="A1033" s="314"/>
      <c r="B1033" s="314"/>
      <c r="C1033" s="314"/>
      <c r="D1033" s="314"/>
      <c r="E1033" s="313"/>
      <c r="F1033" s="314"/>
    </row>
    <row r="1034" spans="1:6">
      <c r="A1034" s="314"/>
      <c r="B1034" s="314"/>
      <c r="C1034" s="314"/>
      <c r="D1034" s="314"/>
      <c r="E1034" s="313"/>
      <c r="F1034" s="314"/>
    </row>
    <row r="1035" spans="1:6">
      <c r="A1035" s="314"/>
      <c r="B1035" s="314"/>
      <c r="C1035" s="314"/>
      <c r="D1035" s="314"/>
      <c r="E1035" s="313"/>
      <c r="F1035" s="314"/>
    </row>
    <row r="1036" spans="1:6">
      <c r="A1036" s="314"/>
      <c r="B1036" s="314"/>
      <c r="C1036" s="314"/>
      <c r="D1036" s="314"/>
      <c r="E1036" s="313"/>
      <c r="F1036" s="314"/>
    </row>
    <row r="1037" spans="1:6">
      <c r="A1037" s="314"/>
      <c r="B1037" s="314"/>
      <c r="C1037" s="314"/>
      <c r="D1037" s="314"/>
      <c r="E1037" s="313"/>
      <c r="F1037" s="314"/>
    </row>
    <row r="1038" spans="1:6">
      <c r="A1038" s="314"/>
      <c r="B1038" s="314"/>
      <c r="C1038" s="314"/>
      <c r="D1038" s="314"/>
      <c r="E1038" s="313"/>
      <c r="F1038" s="314"/>
    </row>
    <row r="1039" spans="1:6">
      <c r="A1039" s="314"/>
      <c r="B1039" s="314"/>
      <c r="C1039" s="314"/>
      <c r="D1039" s="314"/>
      <c r="E1039" s="313"/>
      <c r="F1039" s="314"/>
    </row>
    <row r="1040" spans="1:6">
      <c r="A1040" s="314"/>
      <c r="B1040" s="314"/>
      <c r="C1040" s="314"/>
      <c r="D1040" s="314"/>
      <c r="E1040" s="313"/>
      <c r="F1040" s="314"/>
    </row>
    <row r="1041" spans="1:6">
      <c r="A1041" s="314"/>
      <c r="B1041" s="314"/>
      <c r="C1041" s="314"/>
      <c r="D1041" s="314"/>
      <c r="E1041" s="313"/>
      <c r="F1041" s="314"/>
    </row>
    <row r="1042" spans="1:6">
      <c r="A1042" s="314"/>
      <c r="B1042" s="314"/>
      <c r="C1042" s="314"/>
      <c r="D1042" s="314"/>
      <c r="E1042" s="313"/>
      <c r="F1042" s="314"/>
    </row>
    <row r="1043" spans="1:6">
      <c r="A1043" s="314"/>
      <c r="B1043" s="314"/>
      <c r="C1043" s="314"/>
      <c r="D1043" s="314"/>
      <c r="E1043" s="313"/>
      <c r="F1043" s="314"/>
    </row>
    <row r="1044" spans="1:6">
      <c r="A1044" s="314"/>
      <c r="B1044" s="314"/>
      <c r="C1044" s="314"/>
      <c r="D1044" s="314"/>
      <c r="E1044" s="313"/>
      <c r="F1044" s="314"/>
    </row>
    <row r="1045" spans="1:6">
      <c r="A1045" s="314"/>
      <c r="B1045" s="314"/>
      <c r="C1045" s="314"/>
      <c r="D1045" s="314"/>
      <c r="E1045" s="313"/>
      <c r="F1045" s="314"/>
    </row>
    <row r="1046" spans="1:6">
      <c r="A1046" s="314"/>
      <c r="B1046" s="314"/>
      <c r="C1046" s="314"/>
      <c r="D1046" s="314"/>
      <c r="E1046" s="313"/>
      <c r="F1046" s="314"/>
    </row>
    <row r="1047" spans="1:6">
      <c r="A1047" s="314"/>
      <c r="B1047" s="314"/>
      <c r="C1047" s="314"/>
      <c r="D1047" s="314"/>
      <c r="E1047" s="313"/>
      <c r="F1047" s="314"/>
    </row>
    <row r="1048" spans="1:6">
      <c r="A1048" s="314"/>
      <c r="B1048" s="314"/>
      <c r="C1048" s="314"/>
      <c r="D1048" s="314"/>
      <c r="E1048" s="313"/>
      <c r="F1048" s="314"/>
    </row>
    <row r="1049" spans="1:6">
      <c r="A1049" s="314"/>
      <c r="B1049" s="314"/>
      <c r="C1049" s="314"/>
      <c r="D1049" s="314"/>
      <c r="E1049" s="313"/>
      <c r="F1049" s="314"/>
    </row>
    <row r="1050" spans="1:6">
      <c r="A1050" s="314"/>
      <c r="B1050" s="314"/>
      <c r="C1050" s="314"/>
      <c r="D1050" s="314"/>
      <c r="E1050" s="313"/>
      <c r="F1050" s="314"/>
    </row>
    <row r="1051" spans="1:6">
      <c r="A1051" s="314"/>
      <c r="B1051" s="314"/>
      <c r="C1051" s="314"/>
      <c r="D1051" s="314"/>
      <c r="E1051" s="313"/>
      <c r="F1051" s="314"/>
    </row>
    <row r="1052" spans="1:6">
      <c r="A1052" s="314"/>
      <c r="B1052" s="314"/>
      <c r="C1052" s="314"/>
      <c r="D1052" s="314"/>
      <c r="E1052" s="313"/>
      <c r="F1052" s="314"/>
    </row>
    <row r="1053" spans="1:6">
      <c r="A1053" s="314"/>
      <c r="B1053" s="314"/>
      <c r="C1053" s="314"/>
      <c r="D1053" s="314"/>
      <c r="E1053" s="313"/>
      <c r="F1053" s="314"/>
    </row>
    <row r="1054" spans="1:6">
      <c r="A1054" s="314"/>
      <c r="B1054" s="314"/>
      <c r="C1054" s="314"/>
      <c r="D1054" s="314"/>
      <c r="E1054" s="313"/>
      <c r="F1054" s="314"/>
    </row>
    <row r="1055" spans="1:6">
      <c r="A1055" s="314"/>
      <c r="B1055" s="314"/>
      <c r="C1055" s="314"/>
      <c r="D1055" s="314"/>
      <c r="E1055" s="313"/>
      <c r="F1055" s="314"/>
    </row>
    <row r="1056" spans="1:6">
      <c r="A1056" s="314"/>
      <c r="B1056" s="314"/>
      <c r="C1056" s="314"/>
      <c r="D1056" s="314"/>
      <c r="E1056" s="313"/>
      <c r="F1056" s="314"/>
    </row>
    <row r="1057" spans="1:6">
      <c r="A1057" s="314"/>
      <c r="B1057" s="314"/>
      <c r="C1057" s="314"/>
      <c r="D1057" s="314"/>
      <c r="E1057" s="313"/>
      <c r="F1057" s="314"/>
    </row>
    <row r="1058" spans="1:6">
      <c r="A1058" s="314"/>
      <c r="B1058" s="314"/>
      <c r="C1058" s="314"/>
      <c r="D1058" s="314"/>
      <c r="E1058" s="313"/>
      <c r="F1058" s="314"/>
    </row>
    <row r="1059" spans="1:6">
      <c r="A1059" s="314"/>
      <c r="B1059" s="314"/>
      <c r="C1059" s="314"/>
      <c r="D1059" s="314"/>
      <c r="E1059" s="313"/>
      <c r="F1059" s="314"/>
    </row>
    <row r="1060" spans="1:6">
      <c r="A1060" s="314"/>
      <c r="B1060" s="314"/>
      <c r="C1060" s="314"/>
      <c r="D1060" s="314"/>
      <c r="E1060" s="313"/>
      <c r="F1060" s="314"/>
    </row>
    <row r="1061" spans="1:6">
      <c r="A1061" s="314"/>
      <c r="B1061" s="314"/>
      <c r="C1061" s="314"/>
      <c r="D1061" s="314"/>
      <c r="E1061" s="313"/>
      <c r="F1061" s="314"/>
    </row>
    <row r="1062" spans="1:6">
      <c r="A1062" s="314"/>
      <c r="B1062" s="314"/>
      <c r="C1062" s="314"/>
      <c r="D1062" s="314"/>
      <c r="E1062" s="313"/>
      <c r="F1062" s="314"/>
    </row>
    <row r="1063" spans="1:6">
      <c r="A1063" s="314"/>
      <c r="B1063" s="314"/>
      <c r="C1063" s="314"/>
      <c r="D1063" s="314"/>
      <c r="E1063" s="313"/>
      <c r="F1063" s="314"/>
    </row>
    <row r="1064" spans="1:6">
      <c r="A1064" s="314"/>
      <c r="B1064" s="314"/>
      <c r="C1064" s="314"/>
      <c r="D1064" s="314"/>
      <c r="E1064" s="313"/>
      <c r="F1064" s="314"/>
    </row>
    <row r="1065" spans="1:6">
      <c r="A1065" s="314"/>
      <c r="B1065" s="314"/>
      <c r="C1065" s="314"/>
      <c r="D1065" s="314"/>
      <c r="E1065" s="313"/>
      <c r="F1065" s="314"/>
    </row>
    <row r="1066" spans="1:6">
      <c r="A1066" s="314"/>
      <c r="B1066" s="314"/>
      <c r="C1066" s="314"/>
      <c r="D1066" s="314"/>
      <c r="E1066" s="313"/>
      <c r="F1066" s="314"/>
    </row>
    <row r="1067" spans="1:6">
      <c r="A1067" s="314"/>
      <c r="B1067" s="314"/>
      <c r="C1067" s="314"/>
      <c r="D1067" s="314"/>
      <c r="E1067" s="313"/>
      <c r="F1067" s="314"/>
    </row>
    <row r="1068" spans="1:6">
      <c r="A1068" s="314"/>
      <c r="B1068" s="314"/>
      <c r="C1068" s="314"/>
      <c r="D1068" s="314"/>
      <c r="E1068" s="313"/>
      <c r="F1068" s="314"/>
    </row>
    <row r="1069" spans="1:6">
      <c r="A1069" s="314"/>
      <c r="B1069" s="314"/>
      <c r="C1069" s="314"/>
      <c r="D1069" s="314"/>
      <c r="E1069" s="313"/>
      <c r="F1069" s="314"/>
    </row>
    <row r="1070" spans="1:6">
      <c r="A1070" s="314"/>
      <c r="B1070" s="314"/>
      <c r="C1070" s="314"/>
      <c r="D1070" s="314"/>
      <c r="E1070" s="313"/>
      <c r="F1070" s="314"/>
    </row>
    <row r="1071" spans="1:6">
      <c r="A1071" s="314"/>
      <c r="B1071" s="314"/>
      <c r="C1071" s="314"/>
      <c r="D1071" s="314"/>
      <c r="E1071" s="313"/>
      <c r="F1071" s="314"/>
    </row>
    <row r="1072" spans="1:6">
      <c r="A1072" s="314"/>
      <c r="B1072" s="314"/>
      <c r="C1072" s="314"/>
      <c r="D1072" s="314"/>
      <c r="E1072" s="313"/>
      <c r="F1072" s="314"/>
    </row>
    <row r="1073" spans="1:6">
      <c r="A1073" s="314"/>
      <c r="B1073" s="314"/>
      <c r="C1073" s="314"/>
      <c r="D1073" s="314"/>
      <c r="E1073" s="313"/>
      <c r="F1073" s="314"/>
    </row>
    <row r="1074" spans="1:6">
      <c r="A1074" s="314"/>
      <c r="B1074" s="314"/>
      <c r="C1074" s="314"/>
      <c r="D1074" s="314"/>
      <c r="E1074" s="313"/>
      <c r="F1074" s="314"/>
    </row>
    <row r="1075" spans="1:6">
      <c r="A1075" s="314"/>
      <c r="B1075" s="314"/>
      <c r="C1075" s="314"/>
      <c r="D1075" s="314"/>
      <c r="E1075" s="313"/>
      <c r="F1075" s="314"/>
    </row>
    <row r="1076" spans="1:6">
      <c r="A1076" s="314"/>
      <c r="B1076" s="314"/>
      <c r="C1076" s="314"/>
      <c r="D1076" s="314"/>
      <c r="E1076" s="313"/>
      <c r="F1076" s="314"/>
    </row>
    <row r="1077" spans="1:6">
      <c r="A1077" s="314"/>
      <c r="B1077" s="314"/>
      <c r="C1077" s="314"/>
      <c r="D1077" s="314"/>
      <c r="E1077" s="313"/>
      <c r="F1077" s="314"/>
    </row>
    <row r="1078" spans="1:6">
      <c r="A1078" s="314"/>
      <c r="B1078" s="314"/>
      <c r="C1078" s="314"/>
      <c r="D1078" s="314"/>
      <c r="E1078" s="313"/>
      <c r="F1078" s="314"/>
    </row>
    <row r="1079" spans="1:6">
      <c r="A1079" s="314"/>
      <c r="B1079" s="314"/>
      <c r="C1079" s="314"/>
      <c r="D1079" s="314"/>
      <c r="E1079" s="313"/>
      <c r="F1079" s="314"/>
    </row>
    <row r="1080" spans="1:6">
      <c r="A1080" s="314"/>
      <c r="B1080" s="314"/>
      <c r="C1080" s="314"/>
      <c r="D1080" s="314"/>
      <c r="E1080" s="313"/>
      <c r="F1080" s="314"/>
    </row>
    <row r="1081" spans="1:6">
      <c r="A1081" s="314"/>
      <c r="B1081" s="314"/>
      <c r="C1081" s="314"/>
      <c r="D1081" s="314"/>
      <c r="E1081" s="313"/>
      <c r="F1081" s="314"/>
    </row>
    <row r="1082" spans="1:6">
      <c r="A1082" s="314"/>
      <c r="B1082" s="314"/>
      <c r="C1082" s="314"/>
      <c r="D1082" s="314"/>
      <c r="E1082" s="313"/>
      <c r="F1082" s="314"/>
    </row>
    <row r="1083" spans="1:6">
      <c r="A1083" s="314"/>
      <c r="B1083" s="314"/>
      <c r="C1083" s="314"/>
      <c r="D1083" s="314"/>
      <c r="E1083" s="313"/>
      <c r="F1083" s="314"/>
    </row>
    <row r="1084" spans="1:6">
      <c r="A1084" s="314"/>
      <c r="B1084" s="314"/>
      <c r="C1084" s="314"/>
      <c r="D1084" s="314"/>
      <c r="E1084" s="313"/>
      <c r="F1084" s="314"/>
    </row>
    <row r="1085" spans="1:6">
      <c r="A1085" s="314"/>
      <c r="B1085" s="314"/>
      <c r="C1085" s="314"/>
      <c r="D1085" s="314"/>
      <c r="E1085" s="313"/>
      <c r="F1085" s="314"/>
    </row>
    <row r="1086" spans="1:6">
      <c r="A1086" s="314"/>
      <c r="B1086" s="314"/>
      <c r="C1086" s="314"/>
      <c r="D1086" s="314"/>
      <c r="E1086" s="313"/>
      <c r="F1086" s="314"/>
    </row>
    <row r="1087" spans="1:6">
      <c r="A1087" s="314"/>
      <c r="B1087" s="314"/>
      <c r="C1087" s="314"/>
      <c r="D1087" s="314"/>
      <c r="E1087" s="313"/>
      <c r="F1087" s="314"/>
    </row>
    <row r="1088" spans="1:6">
      <c r="A1088" s="314"/>
      <c r="B1088" s="314"/>
      <c r="C1088" s="314"/>
      <c r="D1088" s="314"/>
      <c r="E1088" s="313"/>
      <c r="F1088" s="314"/>
    </row>
    <row r="1089" spans="1:6">
      <c r="A1089" s="314"/>
      <c r="B1089" s="314"/>
      <c r="C1089" s="314"/>
      <c r="D1089" s="314"/>
      <c r="E1089" s="313"/>
      <c r="F1089" s="314"/>
    </row>
    <row r="1090" spans="1:6">
      <c r="A1090" s="314"/>
      <c r="B1090" s="314"/>
      <c r="C1090" s="314"/>
      <c r="D1090" s="314"/>
      <c r="E1090" s="313"/>
      <c r="F1090" s="314"/>
    </row>
    <row r="1091" spans="1:6">
      <c r="A1091" s="314"/>
      <c r="B1091" s="314"/>
      <c r="C1091" s="314"/>
      <c r="D1091" s="314"/>
      <c r="E1091" s="313"/>
      <c r="F1091" s="314"/>
    </row>
    <row r="1092" spans="1:6">
      <c r="A1092" s="314"/>
      <c r="B1092" s="314"/>
      <c r="C1092" s="314"/>
      <c r="D1092" s="314"/>
      <c r="E1092" s="313"/>
      <c r="F1092" s="314"/>
    </row>
    <row r="1093" spans="1:6">
      <c r="A1093" s="314"/>
      <c r="B1093" s="314"/>
      <c r="C1093" s="314"/>
      <c r="D1093" s="314"/>
      <c r="E1093" s="313"/>
      <c r="F1093" s="314"/>
    </row>
    <row r="1094" spans="1:6">
      <c r="A1094" s="314"/>
      <c r="B1094" s="314"/>
      <c r="C1094" s="314"/>
      <c r="D1094" s="314"/>
      <c r="E1094" s="313"/>
      <c r="F1094" s="314"/>
    </row>
    <row r="1095" spans="1:6">
      <c r="A1095" s="314"/>
      <c r="B1095" s="314"/>
      <c r="C1095" s="314"/>
      <c r="D1095" s="314"/>
      <c r="E1095" s="313"/>
      <c r="F1095" s="314"/>
    </row>
    <row r="1096" spans="1:6">
      <c r="A1096" s="314"/>
      <c r="B1096" s="314"/>
      <c r="C1096" s="314"/>
      <c r="D1096" s="314"/>
      <c r="E1096" s="313"/>
      <c r="F1096" s="314"/>
    </row>
    <row r="1097" spans="1:6">
      <c r="A1097" s="314"/>
      <c r="B1097" s="314"/>
      <c r="C1097" s="314"/>
      <c r="D1097" s="314"/>
      <c r="E1097" s="313"/>
      <c r="F1097" s="314"/>
    </row>
    <row r="1098" spans="1:6">
      <c r="A1098" s="314"/>
      <c r="B1098" s="314"/>
      <c r="C1098" s="314"/>
      <c r="D1098" s="314"/>
      <c r="E1098" s="313"/>
      <c r="F1098" s="314"/>
    </row>
    <row r="1099" spans="1:6">
      <c r="A1099" s="314"/>
      <c r="B1099" s="314"/>
      <c r="C1099" s="314"/>
      <c r="D1099" s="314"/>
      <c r="E1099" s="313"/>
      <c r="F1099" s="314"/>
    </row>
    <row r="1100" spans="1:6">
      <c r="A1100" s="314"/>
      <c r="B1100" s="314"/>
      <c r="C1100" s="314"/>
      <c r="D1100" s="314"/>
      <c r="E1100" s="313"/>
      <c r="F1100" s="314"/>
    </row>
    <row r="1101" spans="1:6">
      <c r="A1101" s="314"/>
      <c r="B1101" s="314"/>
      <c r="C1101" s="314"/>
      <c r="D1101" s="314"/>
      <c r="E1101" s="313"/>
      <c r="F1101" s="314"/>
    </row>
    <row r="1102" spans="1:6">
      <c r="A1102" s="314"/>
      <c r="B1102" s="314"/>
      <c r="C1102" s="314"/>
      <c r="D1102" s="314"/>
      <c r="E1102" s="313"/>
      <c r="F1102" s="314"/>
    </row>
    <row r="1103" spans="1:6">
      <c r="A1103" s="314"/>
      <c r="B1103" s="314"/>
      <c r="C1103" s="314"/>
      <c r="D1103" s="314"/>
      <c r="E1103" s="313"/>
      <c r="F1103" s="314"/>
    </row>
    <row r="1104" spans="1:6">
      <c r="A1104" s="314"/>
      <c r="B1104" s="314"/>
      <c r="C1104" s="314"/>
      <c r="D1104" s="314"/>
      <c r="E1104" s="313"/>
      <c r="F1104" s="314"/>
    </row>
    <row r="1105" spans="1:6">
      <c r="A1105" s="314"/>
      <c r="B1105" s="314"/>
      <c r="C1105" s="314"/>
      <c r="D1105" s="314"/>
      <c r="E1105" s="313"/>
      <c r="F1105" s="314"/>
    </row>
    <row r="1106" spans="1:6">
      <c r="A1106" s="314"/>
      <c r="B1106" s="314"/>
      <c r="C1106" s="314"/>
      <c r="D1106" s="314"/>
      <c r="E1106" s="313"/>
      <c r="F1106" s="314"/>
    </row>
    <row r="1107" spans="1:6">
      <c r="A1107" s="314"/>
      <c r="B1107" s="314"/>
      <c r="C1107" s="314"/>
      <c r="D1107" s="314"/>
      <c r="E1107" s="313"/>
      <c r="F1107" s="314"/>
    </row>
    <row r="1108" spans="1:6">
      <c r="A1108" s="314"/>
      <c r="B1108" s="314"/>
      <c r="C1108" s="314"/>
      <c r="D1108" s="314"/>
      <c r="E1108" s="313"/>
      <c r="F1108" s="314"/>
    </row>
    <row r="1109" spans="1:6">
      <c r="A1109" s="314"/>
      <c r="B1109" s="314"/>
      <c r="C1109" s="314"/>
      <c r="D1109" s="314"/>
      <c r="E1109" s="313"/>
      <c r="F1109" s="314"/>
    </row>
    <row r="1110" spans="1:6">
      <c r="A1110" s="314"/>
      <c r="B1110" s="314"/>
      <c r="C1110" s="314"/>
      <c r="D1110" s="314"/>
      <c r="E1110" s="313"/>
      <c r="F1110" s="314"/>
    </row>
    <row r="1111" spans="1:6">
      <c r="A1111" s="314"/>
      <c r="B1111" s="314"/>
      <c r="C1111" s="314"/>
      <c r="D1111" s="314"/>
      <c r="E1111" s="313"/>
      <c r="F1111" s="314"/>
    </row>
    <row r="1112" spans="1:6">
      <c r="A1112" s="314"/>
      <c r="B1112" s="314"/>
      <c r="C1112" s="314"/>
      <c r="D1112" s="314"/>
      <c r="E1112" s="313"/>
      <c r="F1112" s="314"/>
    </row>
    <row r="1113" spans="1:6">
      <c r="A1113" s="314"/>
      <c r="B1113" s="314"/>
      <c r="C1113" s="314"/>
      <c r="D1113" s="314"/>
      <c r="E1113" s="313"/>
      <c r="F1113" s="314"/>
    </row>
    <row r="1114" spans="1:6">
      <c r="A1114" s="314"/>
      <c r="B1114" s="314"/>
      <c r="C1114" s="314"/>
      <c r="D1114" s="314"/>
      <c r="E1114" s="313"/>
      <c r="F1114" s="314"/>
    </row>
    <row r="1115" spans="1:6">
      <c r="A1115" s="314"/>
      <c r="B1115" s="314"/>
      <c r="C1115" s="314"/>
      <c r="D1115" s="314"/>
      <c r="E1115" s="313"/>
      <c r="F1115" s="314"/>
    </row>
    <row r="1116" spans="1:6">
      <c r="A1116" s="314"/>
      <c r="B1116" s="314"/>
      <c r="C1116" s="314"/>
      <c r="D1116" s="314"/>
      <c r="E1116" s="313"/>
      <c r="F1116" s="314"/>
    </row>
    <row r="1117" spans="1:6">
      <c r="A1117" s="314"/>
      <c r="B1117" s="314"/>
      <c r="C1117" s="314"/>
      <c r="D1117" s="314"/>
      <c r="E1117" s="313"/>
      <c r="F1117" s="314"/>
    </row>
    <row r="1118" spans="1:6">
      <c r="A1118" s="314"/>
      <c r="B1118" s="314"/>
      <c r="C1118" s="314"/>
      <c r="D1118" s="314"/>
      <c r="E1118" s="313"/>
      <c r="F1118" s="314"/>
    </row>
    <row r="1119" spans="1:6">
      <c r="A1119" s="314"/>
      <c r="B1119" s="314"/>
      <c r="C1119" s="314"/>
      <c r="D1119" s="314"/>
      <c r="E1119" s="313"/>
      <c r="F1119" s="314"/>
    </row>
    <row r="1120" spans="1:6">
      <c r="A1120" s="314"/>
      <c r="B1120" s="314"/>
      <c r="C1120" s="314"/>
      <c r="D1120" s="314"/>
      <c r="E1120" s="313"/>
      <c r="F1120" s="314"/>
    </row>
    <row r="1121" spans="1:6">
      <c r="A1121" s="314"/>
      <c r="B1121" s="314"/>
      <c r="C1121" s="314"/>
      <c r="D1121" s="314"/>
      <c r="E1121" s="313"/>
      <c r="F1121" s="314"/>
    </row>
    <row r="1122" spans="1:6">
      <c r="A1122" s="314"/>
      <c r="B1122" s="314"/>
      <c r="C1122" s="314"/>
      <c r="D1122" s="314"/>
      <c r="E1122" s="313"/>
      <c r="F1122" s="314"/>
    </row>
    <row r="1123" spans="1:6">
      <c r="A1123" s="314"/>
      <c r="B1123" s="314"/>
      <c r="C1123" s="314"/>
      <c r="D1123" s="314"/>
      <c r="E1123" s="313"/>
      <c r="F1123" s="314"/>
    </row>
    <row r="1124" spans="1:6">
      <c r="A1124" s="314"/>
      <c r="B1124" s="314"/>
      <c r="C1124" s="314"/>
      <c r="D1124" s="314"/>
      <c r="E1124" s="313"/>
      <c r="F1124" s="314"/>
    </row>
    <row r="1125" spans="1:6">
      <c r="A1125" s="314"/>
      <c r="B1125" s="314"/>
      <c r="C1125" s="314"/>
      <c r="D1125" s="314"/>
      <c r="E1125" s="313"/>
      <c r="F1125" s="314"/>
    </row>
    <row r="1126" spans="1:6">
      <c r="A1126" s="314"/>
      <c r="B1126" s="314"/>
      <c r="C1126" s="314"/>
      <c r="D1126" s="314"/>
      <c r="E1126" s="313"/>
      <c r="F1126" s="314"/>
    </row>
    <row r="1127" spans="1:6">
      <c r="A1127" s="314"/>
      <c r="B1127" s="314"/>
      <c r="C1127" s="314"/>
      <c r="D1127" s="314"/>
      <c r="E1127" s="313"/>
      <c r="F1127" s="314"/>
    </row>
    <row r="1128" spans="1:6">
      <c r="A1128" s="314"/>
      <c r="B1128" s="314"/>
      <c r="C1128" s="314"/>
      <c r="D1128" s="314"/>
      <c r="E1128" s="313"/>
      <c r="F1128" s="314"/>
    </row>
    <row r="1129" spans="1:6">
      <c r="A1129" s="314"/>
      <c r="B1129" s="314"/>
      <c r="C1129" s="314"/>
      <c r="D1129" s="314"/>
      <c r="E1129" s="313"/>
      <c r="F1129" s="314"/>
    </row>
    <row r="1130" spans="1:6">
      <c r="A1130" s="314"/>
      <c r="B1130" s="314"/>
      <c r="C1130" s="314"/>
      <c r="D1130" s="314"/>
      <c r="E1130" s="313"/>
      <c r="F1130" s="314"/>
    </row>
    <row r="1131" spans="1:6">
      <c r="A1131" s="314"/>
      <c r="B1131" s="314"/>
      <c r="C1131" s="314"/>
      <c r="D1131" s="314"/>
      <c r="E1131" s="313"/>
      <c r="F1131" s="314"/>
    </row>
    <row r="1132" spans="1:6">
      <c r="A1132" s="314"/>
      <c r="B1132" s="314"/>
      <c r="C1132" s="314"/>
      <c r="D1132" s="314"/>
      <c r="E1132" s="313"/>
      <c r="F1132" s="314"/>
    </row>
    <row r="1133" spans="1:6">
      <c r="A1133" s="314"/>
      <c r="B1133" s="314"/>
      <c r="C1133" s="314"/>
      <c r="D1133" s="314"/>
      <c r="E1133" s="313"/>
      <c r="F1133" s="314"/>
    </row>
    <row r="1134" spans="1:6">
      <c r="A1134" s="314"/>
      <c r="B1134" s="314"/>
      <c r="C1134" s="314"/>
      <c r="D1134" s="314"/>
      <c r="E1134" s="313"/>
      <c r="F1134" s="314"/>
    </row>
    <row r="1135" spans="1:6">
      <c r="A1135" s="314"/>
      <c r="B1135" s="314"/>
      <c r="C1135" s="314"/>
      <c r="D1135" s="314"/>
      <c r="E1135" s="313"/>
      <c r="F1135" s="314"/>
    </row>
    <row r="1136" spans="1:6">
      <c r="A1136" s="314"/>
      <c r="B1136" s="314"/>
      <c r="C1136" s="314"/>
      <c r="D1136" s="314"/>
      <c r="E1136" s="313"/>
      <c r="F1136" s="314"/>
    </row>
    <row r="1137" spans="1:6">
      <c r="A1137" s="314"/>
      <c r="B1137" s="314"/>
      <c r="C1137" s="314"/>
      <c r="D1137" s="314"/>
      <c r="E1137" s="313"/>
      <c r="F1137" s="314"/>
    </row>
    <row r="1138" spans="1:6">
      <c r="A1138" s="314"/>
      <c r="B1138" s="314"/>
      <c r="C1138" s="314"/>
      <c r="D1138" s="314"/>
      <c r="E1138" s="313"/>
      <c r="F1138" s="314"/>
    </row>
    <row r="1139" spans="1:6">
      <c r="A1139" s="314"/>
      <c r="B1139" s="314"/>
      <c r="C1139" s="314"/>
      <c r="D1139" s="314"/>
      <c r="E1139" s="313"/>
      <c r="F1139" s="314"/>
    </row>
    <row r="1140" spans="1:6">
      <c r="A1140" s="314"/>
      <c r="B1140" s="314"/>
      <c r="C1140" s="314"/>
      <c r="D1140" s="314"/>
      <c r="E1140" s="313"/>
      <c r="F1140" s="314"/>
    </row>
    <row r="1141" spans="1:6">
      <c r="A1141" s="314"/>
      <c r="B1141" s="314"/>
      <c r="C1141" s="314"/>
      <c r="D1141" s="314"/>
      <c r="E1141" s="313"/>
      <c r="F1141" s="314"/>
    </row>
    <row r="1142" spans="1:6">
      <c r="A1142" s="314"/>
      <c r="B1142" s="314"/>
      <c r="C1142" s="314"/>
      <c r="D1142" s="314"/>
      <c r="E1142" s="313"/>
      <c r="F1142" s="314"/>
    </row>
    <row r="1143" spans="1:6">
      <c r="A1143" s="314"/>
      <c r="B1143" s="314"/>
      <c r="C1143" s="314"/>
      <c r="D1143" s="314"/>
      <c r="E1143" s="313"/>
      <c r="F1143" s="314"/>
    </row>
    <row r="1144" spans="1:6">
      <c r="A1144" s="314"/>
      <c r="B1144" s="314"/>
      <c r="C1144" s="314"/>
      <c r="D1144" s="314"/>
      <c r="E1144" s="313"/>
      <c r="F1144" s="314"/>
    </row>
    <row r="1145" spans="1:6">
      <c r="A1145" s="314"/>
      <c r="B1145" s="314"/>
      <c r="C1145" s="314"/>
      <c r="D1145" s="314"/>
      <c r="E1145" s="313"/>
      <c r="F1145" s="314"/>
    </row>
    <row r="1146" spans="1:6">
      <c r="A1146" s="314"/>
      <c r="B1146" s="314"/>
      <c r="C1146" s="314"/>
      <c r="D1146" s="314"/>
      <c r="E1146" s="313"/>
      <c r="F1146" s="314"/>
    </row>
    <row r="1147" spans="1:6">
      <c r="A1147" s="314"/>
      <c r="B1147" s="314"/>
      <c r="C1147" s="314"/>
      <c r="D1147" s="314"/>
      <c r="E1147" s="313"/>
      <c r="F1147" s="314"/>
    </row>
    <row r="1148" spans="1:6">
      <c r="A1148" s="314"/>
      <c r="B1148" s="314"/>
      <c r="C1148" s="314"/>
      <c r="D1148" s="314"/>
      <c r="E1148" s="313"/>
      <c r="F1148" s="314"/>
    </row>
    <row r="1149" spans="1:6">
      <c r="A1149" s="314"/>
      <c r="B1149" s="314"/>
      <c r="C1149" s="314"/>
      <c r="D1149" s="314"/>
      <c r="E1149" s="313"/>
      <c r="F1149" s="314"/>
    </row>
    <row r="1150" spans="1:6">
      <c r="A1150" s="314"/>
      <c r="B1150" s="314"/>
      <c r="C1150" s="314"/>
      <c r="D1150" s="314"/>
      <c r="E1150" s="313"/>
      <c r="F1150" s="314"/>
    </row>
    <row r="1151" spans="1:6">
      <c r="A1151" s="314"/>
      <c r="B1151" s="314"/>
      <c r="C1151" s="314"/>
      <c r="D1151" s="314"/>
      <c r="E1151" s="313"/>
      <c r="F1151" s="314"/>
    </row>
    <row r="1152" spans="1:6">
      <c r="A1152" s="314"/>
      <c r="B1152" s="314"/>
      <c r="C1152" s="314"/>
      <c r="D1152" s="314"/>
      <c r="E1152" s="313"/>
      <c r="F1152" s="314"/>
    </row>
    <row r="1153" spans="1:6">
      <c r="A1153" s="314"/>
      <c r="B1153" s="314"/>
      <c r="C1153" s="314"/>
      <c r="D1153" s="314"/>
      <c r="E1153" s="313"/>
      <c r="F1153" s="314"/>
    </row>
    <row r="1154" spans="1:6">
      <c r="A1154" s="314"/>
      <c r="B1154" s="314"/>
      <c r="C1154" s="314"/>
      <c r="D1154" s="314"/>
      <c r="E1154" s="313"/>
      <c r="F1154" s="314"/>
    </row>
    <row r="1155" spans="1:6">
      <c r="A1155" s="314"/>
      <c r="B1155" s="314"/>
      <c r="C1155" s="314"/>
      <c r="D1155" s="314"/>
      <c r="E1155" s="313"/>
      <c r="F1155" s="314"/>
    </row>
    <row r="1156" spans="1:6">
      <c r="A1156" s="314"/>
      <c r="B1156" s="314"/>
      <c r="C1156" s="314"/>
      <c r="D1156" s="314"/>
      <c r="E1156" s="313"/>
      <c r="F1156" s="314"/>
    </row>
    <row r="1157" spans="1:6">
      <c r="A1157" s="314"/>
      <c r="B1157" s="314"/>
      <c r="C1157" s="314"/>
      <c r="D1157" s="314"/>
      <c r="E1157" s="313"/>
      <c r="F1157" s="314"/>
    </row>
    <row r="1158" spans="1:6">
      <c r="A1158" s="314"/>
      <c r="B1158" s="314"/>
      <c r="C1158" s="314"/>
      <c r="D1158" s="314"/>
      <c r="E1158" s="313"/>
      <c r="F1158" s="314"/>
    </row>
    <row r="1159" spans="1:6">
      <c r="A1159" s="314"/>
      <c r="B1159" s="314"/>
      <c r="C1159" s="314"/>
      <c r="D1159" s="314"/>
      <c r="E1159" s="313"/>
      <c r="F1159" s="314"/>
    </row>
    <row r="1160" spans="1:6">
      <c r="A1160" s="314"/>
      <c r="B1160" s="314"/>
      <c r="C1160" s="314"/>
      <c r="D1160" s="314"/>
      <c r="E1160" s="313"/>
      <c r="F1160" s="314"/>
    </row>
    <row r="1161" spans="1:6">
      <c r="A1161" s="314"/>
      <c r="B1161" s="314"/>
      <c r="C1161" s="314"/>
      <c r="D1161" s="314"/>
      <c r="E1161" s="313"/>
      <c r="F1161" s="314"/>
    </row>
    <row r="1162" spans="1:6">
      <c r="A1162" s="314"/>
      <c r="B1162" s="314"/>
      <c r="C1162" s="314"/>
      <c r="D1162" s="314"/>
      <c r="E1162" s="313"/>
      <c r="F1162" s="314"/>
    </row>
    <row r="1163" spans="1:6">
      <c r="A1163" s="314"/>
      <c r="B1163" s="314"/>
      <c r="C1163" s="314"/>
      <c r="D1163" s="314"/>
      <c r="E1163" s="313"/>
      <c r="F1163" s="314"/>
    </row>
    <row r="1164" spans="1:6">
      <c r="A1164" s="314"/>
      <c r="B1164" s="314"/>
      <c r="C1164" s="314"/>
      <c r="D1164" s="314"/>
      <c r="E1164" s="313"/>
      <c r="F1164" s="314"/>
    </row>
    <row r="1165" spans="1:6">
      <c r="A1165" s="314"/>
      <c r="B1165" s="314"/>
      <c r="C1165" s="314"/>
      <c r="D1165" s="314"/>
      <c r="E1165" s="313"/>
      <c r="F1165" s="314"/>
    </row>
    <row r="1166" spans="1:6">
      <c r="A1166" s="314"/>
      <c r="B1166" s="314"/>
      <c r="C1166" s="314"/>
      <c r="D1166" s="314"/>
      <c r="E1166" s="313"/>
      <c r="F1166" s="314"/>
    </row>
    <row r="1167" spans="1:6">
      <c r="A1167" s="314"/>
      <c r="B1167" s="314"/>
      <c r="C1167" s="314"/>
      <c r="D1167" s="314"/>
      <c r="E1167" s="313"/>
      <c r="F1167" s="314"/>
    </row>
    <row r="1168" spans="1:6">
      <c r="A1168" s="314"/>
      <c r="B1168" s="314"/>
      <c r="C1168" s="314"/>
      <c r="D1168" s="314"/>
      <c r="E1168" s="313"/>
      <c r="F1168" s="314"/>
    </row>
    <row r="1169" spans="1:6">
      <c r="A1169" s="314"/>
      <c r="B1169" s="314"/>
      <c r="C1169" s="314"/>
      <c r="D1169" s="314"/>
      <c r="E1169" s="313"/>
      <c r="F1169" s="314"/>
    </row>
    <row r="1170" spans="1:6">
      <c r="A1170" s="314"/>
      <c r="B1170" s="314"/>
      <c r="C1170" s="314"/>
      <c r="D1170" s="314"/>
      <c r="E1170" s="313"/>
      <c r="F1170" s="314"/>
    </row>
    <row r="1171" spans="1:6">
      <c r="A1171" s="314"/>
      <c r="B1171" s="314"/>
      <c r="C1171" s="314"/>
      <c r="D1171" s="314"/>
      <c r="E1171" s="313"/>
      <c r="F1171" s="314"/>
    </row>
    <row r="1172" spans="1:6">
      <c r="A1172" s="314"/>
      <c r="B1172" s="314"/>
      <c r="C1172" s="314"/>
      <c r="D1172" s="314"/>
      <c r="E1172" s="313"/>
      <c r="F1172" s="314"/>
    </row>
    <row r="1173" spans="1:6">
      <c r="A1173" s="314"/>
      <c r="B1173" s="314"/>
      <c r="C1173" s="314"/>
      <c r="D1173" s="314"/>
      <c r="E1173" s="313"/>
      <c r="F1173" s="314"/>
    </row>
    <row r="1174" spans="1:6">
      <c r="A1174" s="314"/>
      <c r="B1174" s="314"/>
      <c r="C1174" s="314"/>
      <c r="D1174" s="314"/>
      <c r="E1174" s="313"/>
      <c r="F1174" s="314"/>
    </row>
    <row r="1175" spans="1:6">
      <c r="A1175" s="314"/>
      <c r="B1175" s="314"/>
      <c r="C1175" s="314"/>
      <c r="D1175" s="314"/>
      <c r="E1175" s="313"/>
      <c r="F1175" s="314"/>
    </row>
    <row r="1176" spans="1:6">
      <c r="A1176" s="314"/>
      <c r="B1176" s="314"/>
      <c r="C1176" s="314"/>
      <c r="D1176" s="314"/>
      <c r="E1176" s="313"/>
      <c r="F1176" s="314"/>
    </row>
    <row r="1177" spans="1:6">
      <c r="A1177" s="314"/>
      <c r="B1177" s="314"/>
      <c r="C1177" s="314"/>
      <c r="D1177" s="314"/>
      <c r="E1177" s="313"/>
      <c r="F1177" s="314"/>
    </row>
    <row r="1178" spans="1:6">
      <c r="A1178" s="314"/>
      <c r="B1178" s="314"/>
      <c r="C1178" s="314"/>
      <c r="D1178" s="314"/>
      <c r="E1178" s="313"/>
      <c r="F1178" s="314"/>
    </row>
    <row r="1179" spans="1:6">
      <c r="A1179" s="314"/>
      <c r="B1179" s="314"/>
      <c r="C1179" s="314"/>
      <c r="D1179" s="314"/>
      <c r="E1179" s="313"/>
      <c r="F1179" s="314"/>
    </row>
    <row r="1180" spans="1:6">
      <c r="A1180" s="314"/>
      <c r="B1180" s="314"/>
      <c r="C1180" s="314"/>
      <c r="D1180" s="314"/>
      <c r="E1180" s="313"/>
      <c r="F1180" s="314"/>
    </row>
    <row r="1181" spans="1:6">
      <c r="A1181" s="314"/>
      <c r="B1181" s="314"/>
      <c r="C1181" s="314"/>
      <c r="D1181" s="314"/>
      <c r="E1181" s="313"/>
      <c r="F1181" s="314"/>
    </row>
    <row r="1182" spans="1:6">
      <c r="A1182" s="314"/>
      <c r="B1182" s="314"/>
      <c r="C1182" s="314"/>
      <c r="D1182" s="314"/>
      <c r="E1182" s="313"/>
      <c r="F1182" s="314"/>
    </row>
    <row r="1183" spans="1:6">
      <c r="A1183" s="314"/>
      <c r="B1183" s="314"/>
      <c r="C1183" s="314"/>
      <c r="D1183" s="314"/>
      <c r="E1183" s="313"/>
      <c r="F1183" s="314"/>
    </row>
    <row r="1184" spans="1:6">
      <c r="A1184" s="314"/>
      <c r="B1184" s="314"/>
      <c r="C1184" s="314"/>
      <c r="D1184" s="314"/>
      <c r="E1184" s="313"/>
      <c r="F1184" s="314"/>
    </row>
    <row r="1185" spans="1:6">
      <c r="A1185" s="314"/>
      <c r="B1185" s="314"/>
      <c r="C1185" s="314"/>
      <c r="D1185" s="314"/>
      <c r="E1185" s="313"/>
      <c r="F1185" s="314"/>
    </row>
    <row r="1186" spans="1:6">
      <c r="A1186" s="314"/>
      <c r="B1186" s="314"/>
      <c r="C1186" s="314"/>
      <c r="D1186" s="314"/>
      <c r="E1186" s="313"/>
      <c r="F1186" s="314"/>
    </row>
    <row r="1187" spans="1:6">
      <c r="A1187" s="314"/>
      <c r="B1187" s="314"/>
      <c r="C1187" s="314"/>
      <c r="D1187" s="314"/>
      <c r="E1187" s="313"/>
      <c r="F1187" s="314"/>
    </row>
    <row r="1188" spans="1:6">
      <c r="A1188" s="314"/>
      <c r="B1188" s="314"/>
      <c r="C1188" s="314"/>
      <c r="D1188" s="314"/>
      <c r="E1188" s="313"/>
      <c r="F1188" s="314"/>
    </row>
    <row r="1189" spans="1:6">
      <c r="A1189" s="314"/>
      <c r="B1189" s="314"/>
      <c r="C1189" s="314"/>
      <c r="D1189" s="314"/>
      <c r="E1189" s="313"/>
      <c r="F1189" s="314"/>
    </row>
    <row r="1190" spans="1:6">
      <c r="A1190" s="314"/>
      <c r="B1190" s="314"/>
      <c r="C1190" s="314"/>
      <c r="D1190" s="314"/>
      <c r="E1190" s="313"/>
      <c r="F1190" s="314"/>
    </row>
    <row r="1191" spans="1:6">
      <c r="A1191" s="314"/>
      <c r="B1191" s="314"/>
      <c r="C1191" s="314"/>
      <c r="D1191" s="314"/>
      <c r="E1191" s="313"/>
      <c r="F1191" s="314"/>
    </row>
    <row r="1192" spans="1:6">
      <c r="A1192" s="314"/>
      <c r="B1192" s="314"/>
      <c r="C1192" s="314"/>
      <c r="D1192" s="314"/>
      <c r="E1192" s="313"/>
      <c r="F1192" s="314"/>
    </row>
    <row r="1193" spans="1:6">
      <c r="A1193" s="314"/>
      <c r="B1193" s="314"/>
      <c r="C1193" s="314"/>
      <c r="D1193" s="314"/>
      <c r="E1193" s="313"/>
      <c r="F1193" s="314"/>
    </row>
    <row r="1194" spans="1:6">
      <c r="A1194" s="314"/>
      <c r="B1194" s="314"/>
      <c r="C1194" s="314"/>
      <c r="D1194" s="314"/>
      <c r="E1194" s="313"/>
      <c r="F1194" s="314"/>
    </row>
    <row r="1195" spans="1:6">
      <c r="A1195" s="314"/>
      <c r="B1195" s="314"/>
      <c r="C1195" s="314"/>
      <c r="D1195" s="314"/>
      <c r="E1195" s="313"/>
      <c r="F1195" s="314"/>
    </row>
    <row r="1196" spans="1:6">
      <c r="A1196" s="314"/>
      <c r="B1196" s="314"/>
      <c r="C1196" s="314"/>
      <c r="D1196" s="314"/>
      <c r="E1196" s="313"/>
      <c r="F1196" s="314"/>
    </row>
    <row r="1197" spans="1:6">
      <c r="A1197" s="314"/>
      <c r="B1197" s="314"/>
      <c r="C1197" s="314"/>
      <c r="D1197" s="314"/>
      <c r="E1197" s="313"/>
      <c r="F1197" s="314"/>
    </row>
    <row r="1198" spans="1:6">
      <c r="A1198" s="314"/>
      <c r="B1198" s="314"/>
      <c r="C1198" s="314"/>
      <c r="D1198" s="314"/>
      <c r="E1198" s="313"/>
      <c r="F1198" s="314"/>
    </row>
    <row r="1199" spans="1:6">
      <c r="A1199" s="314"/>
      <c r="B1199" s="314"/>
      <c r="C1199" s="314"/>
      <c r="D1199" s="314"/>
      <c r="E1199" s="313"/>
      <c r="F1199" s="314"/>
    </row>
    <row r="1200" spans="1:6">
      <c r="A1200" s="314"/>
      <c r="B1200" s="314"/>
      <c r="C1200" s="314"/>
      <c r="D1200" s="314"/>
      <c r="E1200" s="313"/>
      <c r="F1200" s="314"/>
    </row>
    <row r="1201" spans="1:6">
      <c r="A1201" s="314"/>
      <c r="B1201" s="314"/>
      <c r="C1201" s="314"/>
      <c r="D1201" s="314"/>
      <c r="E1201" s="313"/>
      <c r="F1201" s="314"/>
    </row>
    <row r="1202" spans="1:6">
      <c r="A1202" s="314"/>
      <c r="B1202" s="314"/>
      <c r="C1202" s="314"/>
      <c r="D1202" s="314"/>
      <c r="E1202" s="313"/>
      <c r="F1202" s="314"/>
    </row>
    <row r="1203" spans="1:6">
      <c r="A1203" s="314"/>
      <c r="B1203" s="314"/>
      <c r="C1203" s="314"/>
      <c r="D1203" s="314"/>
      <c r="E1203" s="313"/>
      <c r="F1203" s="314"/>
    </row>
    <row r="1204" spans="1:6">
      <c r="A1204" s="314"/>
      <c r="B1204" s="314"/>
      <c r="C1204" s="314"/>
      <c r="D1204" s="314"/>
      <c r="E1204" s="313"/>
      <c r="F1204" s="314"/>
    </row>
    <row r="1205" spans="1:6">
      <c r="A1205" s="314"/>
      <c r="B1205" s="314"/>
      <c r="C1205" s="314"/>
      <c r="D1205" s="314"/>
      <c r="E1205" s="313"/>
      <c r="F1205" s="314"/>
    </row>
    <row r="1206" spans="1:6">
      <c r="A1206" s="314"/>
      <c r="B1206" s="314"/>
      <c r="C1206" s="314"/>
      <c r="D1206" s="314"/>
      <c r="E1206" s="313"/>
      <c r="F1206" s="314"/>
    </row>
    <row r="1207" spans="1:6">
      <c r="A1207" s="314"/>
      <c r="B1207" s="314"/>
      <c r="C1207" s="314"/>
      <c r="D1207" s="314"/>
      <c r="E1207" s="313"/>
      <c r="F1207" s="314"/>
    </row>
    <row r="1208" spans="1:6">
      <c r="A1208" s="314"/>
      <c r="B1208" s="314"/>
      <c r="C1208" s="314"/>
      <c r="D1208" s="314"/>
      <c r="E1208" s="313"/>
      <c r="F1208" s="314"/>
    </row>
    <row r="1209" spans="1:6">
      <c r="A1209" s="314"/>
      <c r="B1209" s="314"/>
      <c r="C1209" s="314"/>
      <c r="D1209" s="314"/>
      <c r="E1209" s="313"/>
      <c r="F1209" s="314"/>
    </row>
    <row r="1210" spans="1:6">
      <c r="A1210" s="314"/>
      <c r="B1210" s="314"/>
      <c r="C1210" s="314"/>
      <c r="D1210" s="314"/>
      <c r="E1210" s="313"/>
      <c r="F1210" s="314"/>
    </row>
    <row r="1211" spans="1:6">
      <c r="A1211" s="314"/>
      <c r="B1211" s="314"/>
      <c r="C1211" s="314"/>
      <c r="D1211" s="314"/>
      <c r="E1211" s="313"/>
      <c r="F1211" s="314"/>
    </row>
    <row r="1212" spans="1:6">
      <c r="A1212" s="314"/>
      <c r="B1212" s="314"/>
      <c r="C1212" s="314"/>
      <c r="D1212" s="314"/>
      <c r="E1212" s="313"/>
      <c r="F1212" s="314"/>
    </row>
    <row r="1213" spans="1:6">
      <c r="A1213" s="314"/>
      <c r="B1213" s="314"/>
      <c r="C1213" s="314"/>
      <c r="D1213" s="314"/>
      <c r="E1213" s="313"/>
      <c r="F1213" s="314"/>
    </row>
    <row r="1214" spans="1:6">
      <c r="A1214" s="314"/>
      <c r="B1214" s="314"/>
      <c r="C1214" s="314"/>
      <c r="D1214" s="314"/>
      <c r="E1214" s="313"/>
      <c r="F1214" s="314"/>
    </row>
    <row r="1215" spans="1:6">
      <c r="A1215" s="314"/>
      <c r="B1215" s="314"/>
      <c r="C1215" s="314"/>
      <c r="D1215" s="314"/>
      <c r="E1215" s="313"/>
      <c r="F1215" s="314"/>
    </row>
    <row r="1216" spans="1:6">
      <c r="A1216" s="314"/>
      <c r="B1216" s="314"/>
      <c r="C1216" s="314"/>
      <c r="D1216" s="314"/>
      <c r="E1216" s="313"/>
      <c r="F1216" s="314"/>
    </row>
    <row r="1217" spans="1:6">
      <c r="A1217" s="314"/>
      <c r="B1217" s="314"/>
      <c r="C1217" s="314"/>
      <c r="D1217" s="314"/>
      <c r="E1217" s="313"/>
      <c r="F1217" s="314"/>
    </row>
    <row r="1218" spans="1:6">
      <c r="A1218" s="314"/>
      <c r="B1218" s="314"/>
      <c r="C1218" s="314"/>
      <c r="D1218" s="314"/>
      <c r="E1218" s="313"/>
      <c r="F1218" s="314"/>
    </row>
    <row r="1219" spans="1:6">
      <c r="A1219" s="314"/>
      <c r="B1219" s="314"/>
      <c r="C1219" s="314"/>
      <c r="D1219" s="314"/>
      <c r="E1219" s="313"/>
      <c r="F1219" s="314"/>
    </row>
    <row r="1220" spans="1:6">
      <c r="A1220" s="314"/>
      <c r="B1220" s="314"/>
      <c r="C1220" s="314"/>
      <c r="D1220" s="314"/>
      <c r="E1220" s="313"/>
      <c r="F1220" s="314"/>
    </row>
    <row r="1221" spans="1:6">
      <c r="A1221" s="314"/>
      <c r="B1221" s="314"/>
      <c r="C1221" s="314"/>
      <c r="D1221" s="314"/>
      <c r="E1221" s="313"/>
      <c r="F1221" s="314"/>
    </row>
    <row r="1222" spans="1:6">
      <c r="A1222" s="314"/>
      <c r="B1222" s="314"/>
      <c r="C1222" s="314"/>
      <c r="D1222" s="314"/>
      <c r="E1222" s="313"/>
      <c r="F1222" s="314"/>
    </row>
    <row r="1223" spans="1:6">
      <c r="A1223" s="314"/>
      <c r="B1223" s="314"/>
      <c r="C1223" s="314"/>
      <c r="D1223" s="314"/>
      <c r="E1223" s="313"/>
      <c r="F1223" s="314"/>
    </row>
    <row r="1224" spans="1:6">
      <c r="A1224" s="314"/>
      <c r="B1224" s="314"/>
      <c r="C1224" s="314"/>
      <c r="D1224" s="314"/>
      <c r="E1224" s="313"/>
      <c r="F1224" s="314"/>
    </row>
    <row r="1225" spans="1:6">
      <c r="A1225" s="314"/>
      <c r="B1225" s="314"/>
      <c r="C1225" s="314"/>
      <c r="D1225" s="314"/>
      <c r="E1225" s="313"/>
      <c r="F1225" s="314"/>
    </row>
    <row r="1226" spans="1:6">
      <c r="A1226" s="314"/>
      <c r="B1226" s="314"/>
      <c r="C1226" s="314"/>
      <c r="D1226" s="314"/>
      <c r="E1226" s="313"/>
      <c r="F1226" s="314"/>
    </row>
    <row r="1227" spans="1:6">
      <c r="A1227" s="314"/>
      <c r="B1227" s="314"/>
      <c r="C1227" s="314"/>
      <c r="D1227" s="314"/>
      <c r="E1227" s="313"/>
      <c r="F1227" s="314"/>
    </row>
    <row r="1228" spans="1:6">
      <c r="A1228" s="314"/>
      <c r="B1228" s="314"/>
      <c r="C1228" s="314"/>
      <c r="D1228" s="314"/>
      <c r="E1228" s="313"/>
      <c r="F1228" s="314"/>
    </row>
    <row r="1229" spans="1:6">
      <c r="A1229" s="314"/>
      <c r="B1229" s="314"/>
      <c r="C1229" s="314"/>
      <c r="D1229" s="314"/>
      <c r="E1229" s="313"/>
      <c r="F1229" s="314"/>
    </row>
    <row r="1230" spans="1:6">
      <c r="A1230" s="314"/>
      <c r="B1230" s="314"/>
      <c r="C1230" s="314"/>
      <c r="D1230" s="314"/>
      <c r="E1230" s="313"/>
      <c r="F1230" s="314"/>
    </row>
    <row r="1231" spans="1:6">
      <c r="A1231" s="314"/>
      <c r="B1231" s="314"/>
      <c r="C1231" s="314"/>
      <c r="D1231" s="314"/>
      <c r="E1231" s="313"/>
      <c r="F1231" s="314"/>
    </row>
    <row r="1232" spans="1:6">
      <c r="A1232" s="314"/>
      <c r="B1232" s="314"/>
      <c r="C1232" s="314"/>
      <c r="D1232" s="314"/>
      <c r="E1232" s="313"/>
      <c r="F1232" s="314"/>
    </row>
    <row r="1233" spans="1:6">
      <c r="A1233" s="314"/>
      <c r="B1233" s="314"/>
      <c r="C1233" s="314"/>
      <c r="D1233" s="314"/>
      <c r="E1233" s="313"/>
      <c r="F1233" s="314"/>
    </row>
    <row r="1234" spans="1:6">
      <c r="A1234" s="314"/>
      <c r="B1234" s="314"/>
      <c r="C1234" s="314"/>
      <c r="D1234" s="314"/>
      <c r="E1234" s="313"/>
      <c r="F1234" s="314"/>
    </row>
    <row r="1235" spans="1:6">
      <c r="A1235" s="314"/>
      <c r="B1235" s="314"/>
      <c r="C1235" s="314"/>
      <c r="D1235" s="314"/>
      <c r="E1235" s="313"/>
      <c r="F1235" s="314"/>
    </row>
    <row r="1236" spans="1:6">
      <c r="A1236" s="314"/>
      <c r="B1236" s="314"/>
      <c r="C1236" s="314"/>
      <c r="D1236" s="314"/>
      <c r="E1236" s="313"/>
      <c r="F1236" s="314"/>
    </row>
    <row r="1237" spans="1:6">
      <c r="A1237" s="314"/>
      <c r="B1237" s="314"/>
      <c r="C1237" s="314"/>
      <c r="D1237" s="314"/>
      <c r="E1237" s="313"/>
      <c r="F1237" s="314"/>
    </row>
    <row r="1238" spans="1:6">
      <c r="A1238" s="314"/>
      <c r="B1238" s="314"/>
      <c r="C1238" s="314"/>
      <c r="D1238" s="314"/>
      <c r="E1238" s="313"/>
      <c r="F1238" s="314"/>
    </row>
    <row r="1239" spans="1:6">
      <c r="A1239" s="314"/>
      <c r="B1239" s="314"/>
      <c r="C1239" s="314"/>
      <c r="D1239" s="314"/>
      <c r="E1239" s="313"/>
      <c r="F1239" s="314"/>
    </row>
    <row r="1240" spans="1:6">
      <c r="A1240" s="314"/>
      <c r="B1240" s="314"/>
      <c r="C1240" s="314"/>
      <c r="D1240" s="314"/>
      <c r="E1240" s="313"/>
      <c r="F1240" s="314"/>
    </row>
    <row r="1241" spans="1:6">
      <c r="A1241" s="314"/>
      <c r="B1241" s="314"/>
      <c r="C1241" s="314"/>
      <c r="D1241" s="314"/>
      <c r="E1241" s="313"/>
      <c r="F1241" s="314"/>
    </row>
    <row r="1242" spans="1:6">
      <c r="A1242" s="314"/>
      <c r="B1242" s="314"/>
      <c r="C1242" s="314"/>
      <c r="D1242" s="314"/>
      <c r="E1242" s="313"/>
      <c r="F1242" s="314"/>
    </row>
    <row r="1243" spans="1:6">
      <c r="A1243" s="314"/>
      <c r="B1243" s="314"/>
      <c r="C1243" s="314"/>
      <c r="D1243" s="314"/>
      <c r="E1243" s="313"/>
      <c r="F1243" s="314"/>
    </row>
    <row r="1244" spans="1:6">
      <c r="A1244" s="314"/>
      <c r="B1244" s="314"/>
      <c r="C1244" s="314"/>
      <c r="D1244" s="314"/>
      <c r="E1244" s="313"/>
      <c r="F1244" s="314"/>
    </row>
    <row r="1245" spans="1:6">
      <c r="A1245" s="314"/>
      <c r="B1245" s="314"/>
      <c r="C1245" s="314"/>
      <c r="D1245" s="314"/>
      <c r="E1245" s="313"/>
      <c r="F1245" s="314"/>
    </row>
    <row r="1246" spans="1:6">
      <c r="A1246" s="314"/>
      <c r="B1246" s="314"/>
      <c r="C1246" s="314"/>
      <c r="D1246" s="314"/>
      <c r="E1246" s="313"/>
      <c r="F1246" s="314"/>
    </row>
    <row r="1247" spans="1:6">
      <c r="A1247" s="314"/>
      <c r="B1247" s="314"/>
      <c r="C1247" s="314"/>
      <c r="D1247" s="314"/>
      <c r="E1247" s="313"/>
      <c r="F1247" s="314"/>
    </row>
    <row r="1248" spans="1:6">
      <c r="A1248" s="314"/>
      <c r="B1248" s="314"/>
      <c r="C1248" s="314"/>
      <c r="D1248" s="314"/>
      <c r="E1248" s="313"/>
      <c r="F1248" s="314"/>
    </row>
    <row r="1249" spans="1:6">
      <c r="A1249" s="314"/>
      <c r="B1249" s="314"/>
      <c r="C1249" s="314"/>
      <c r="D1249" s="314"/>
      <c r="E1249" s="313"/>
      <c r="F1249" s="314"/>
    </row>
    <row r="1250" spans="1:6">
      <c r="A1250" s="314"/>
      <c r="B1250" s="314"/>
      <c r="C1250" s="314"/>
      <c r="D1250" s="314"/>
      <c r="E1250" s="313"/>
      <c r="F1250" s="314"/>
    </row>
    <row r="1251" spans="1:6">
      <c r="A1251" s="314"/>
      <c r="B1251" s="314"/>
      <c r="C1251" s="314"/>
      <c r="D1251" s="314"/>
      <c r="E1251" s="313"/>
      <c r="F1251" s="314"/>
    </row>
    <row r="1252" spans="1:6">
      <c r="A1252" s="314"/>
      <c r="B1252" s="314"/>
      <c r="C1252" s="314"/>
      <c r="D1252" s="314"/>
      <c r="E1252" s="313"/>
      <c r="F1252" s="314"/>
    </row>
    <row r="1253" spans="1:6">
      <c r="A1253" s="314"/>
      <c r="B1253" s="314"/>
      <c r="C1253" s="314"/>
      <c r="D1253" s="314"/>
      <c r="E1253" s="313"/>
      <c r="F1253" s="314"/>
    </row>
    <row r="1254" spans="1:6">
      <c r="A1254" s="314"/>
      <c r="B1254" s="314"/>
      <c r="C1254" s="314"/>
      <c r="D1254" s="314"/>
      <c r="E1254" s="313"/>
      <c r="F1254" s="314"/>
    </row>
    <row r="1255" spans="1:6">
      <c r="A1255" s="314"/>
      <c r="B1255" s="314"/>
      <c r="C1255" s="314"/>
      <c r="D1255" s="314"/>
      <c r="E1255" s="313"/>
      <c r="F1255" s="314"/>
    </row>
    <row r="1256" spans="1:6">
      <c r="A1256" s="314"/>
      <c r="B1256" s="314"/>
      <c r="C1256" s="314"/>
      <c r="D1256" s="314"/>
      <c r="E1256" s="313"/>
      <c r="F1256" s="314"/>
    </row>
    <row r="1257" spans="1:6">
      <c r="A1257" s="314"/>
      <c r="B1257" s="314"/>
      <c r="C1257" s="314"/>
      <c r="D1257" s="314"/>
      <c r="E1257" s="313"/>
      <c r="F1257" s="314"/>
    </row>
    <row r="1258" spans="1:6">
      <c r="A1258" s="314"/>
      <c r="B1258" s="314"/>
      <c r="C1258" s="314"/>
      <c r="D1258" s="314"/>
      <c r="E1258" s="313"/>
      <c r="F1258" s="314"/>
    </row>
    <row r="1259" spans="1:6">
      <c r="A1259" s="314"/>
      <c r="B1259" s="314"/>
      <c r="C1259" s="314"/>
      <c r="D1259" s="314"/>
      <c r="E1259" s="313"/>
      <c r="F1259" s="314"/>
    </row>
    <row r="1260" spans="1:6">
      <c r="A1260" s="314"/>
      <c r="B1260" s="314"/>
      <c r="C1260" s="314"/>
      <c r="D1260" s="314"/>
      <c r="E1260" s="313"/>
      <c r="F1260" s="314"/>
    </row>
    <row r="1261" spans="1:6">
      <c r="A1261" s="314"/>
      <c r="B1261" s="314"/>
      <c r="C1261" s="314"/>
      <c r="D1261" s="314"/>
      <c r="E1261" s="313"/>
      <c r="F1261" s="314"/>
    </row>
    <row r="1262" spans="1:6">
      <c r="A1262" s="314"/>
      <c r="B1262" s="314"/>
      <c r="C1262" s="314"/>
      <c r="D1262" s="314"/>
      <c r="E1262" s="313"/>
      <c r="F1262" s="314"/>
    </row>
    <row r="1263" spans="1:6">
      <c r="A1263" s="314"/>
      <c r="B1263" s="314"/>
      <c r="C1263" s="314"/>
      <c r="D1263" s="314"/>
      <c r="E1263" s="313"/>
      <c r="F1263" s="314"/>
    </row>
    <row r="1264" spans="1:6">
      <c r="A1264" s="314"/>
      <c r="B1264" s="314"/>
      <c r="C1264" s="314"/>
      <c r="D1264" s="314"/>
      <c r="E1264" s="313"/>
      <c r="F1264" s="314"/>
    </row>
    <row r="1265" spans="1:6">
      <c r="A1265" s="314"/>
      <c r="B1265" s="314"/>
      <c r="C1265" s="314"/>
      <c r="D1265" s="314"/>
      <c r="E1265" s="313"/>
      <c r="F1265" s="314"/>
    </row>
    <row r="1266" spans="1:6">
      <c r="A1266" s="314"/>
      <c r="B1266" s="314"/>
      <c r="C1266" s="314"/>
      <c r="D1266" s="314"/>
      <c r="E1266" s="313"/>
      <c r="F1266" s="314"/>
    </row>
    <row r="1267" spans="1:6">
      <c r="A1267" s="314"/>
      <c r="B1267" s="314"/>
      <c r="C1267" s="314"/>
      <c r="D1267" s="314"/>
      <c r="E1267" s="313"/>
      <c r="F1267" s="314"/>
    </row>
    <row r="1268" spans="1:6">
      <c r="A1268" s="314"/>
      <c r="B1268" s="314"/>
      <c r="C1268" s="314"/>
      <c r="D1268" s="314"/>
      <c r="E1268" s="313"/>
      <c r="F1268" s="314"/>
    </row>
    <row r="1269" spans="1:6">
      <c r="A1269" s="314"/>
      <c r="B1269" s="314"/>
      <c r="C1269" s="314"/>
      <c r="D1269" s="314"/>
      <c r="E1269" s="313"/>
      <c r="F1269" s="314"/>
    </row>
    <row r="1270" spans="1:6">
      <c r="A1270" s="314"/>
      <c r="B1270" s="314"/>
      <c r="C1270" s="314"/>
      <c r="D1270" s="314"/>
      <c r="E1270" s="313"/>
      <c r="F1270" s="314"/>
    </row>
    <row r="1271" spans="1:6">
      <c r="A1271" s="314"/>
      <c r="B1271" s="314"/>
      <c r="C1271" s="314"/>
      <c r="D1271" s="314"/>
      <c r="E1271" s="313"/>
      <c r="F1271" s="314"/>
    </row>
    <row r="1272" spans="1:6">
      <c r="A1272" s="314"/>
      <c r="B1272" s="314"/>
      <c r="C1272" s="314"/>
      <c r="D1272" s="314"/>
      <c r="E1272" s="313"/>
      <c r="F1272" s="314"/>
    </row>
    <row r="1273" spans="1:6">
      <c r="A1273" s="314"/>
      <c r="B1273" s="314"/>
      <c r="C1273" s="314"/>
      <c r="D1273" s="314"/>
      <c r="E1273" s="313"/>
      <c r="F1273" s="314"/>
    </row>
    <row r="1274" spans="1:6">
      <c r="A1274" s="314"/>
      <c r="B1274" s="314"/>
      <c r="C1274" s="314"/>
      <c r="D1274" s="314"/>
      <c r="E1274" s="313"/>
      <c r="F1274" s="314"/>
    </row>
    <row r="1275" spans="1:6">
      <c r="A1275" s="314"/>
      <c r="B1275" s="314"/>
      <c r="C1275" s="314"/>
      <c r="D1275" s="314"/>
      <c r="E1275" s="313"/>
      <c r="F1275" s="314"/>
    </row>
    <row r="1276" spans="1:6">
      <c r="A1276" s="314"/>
      <c r="B1276" s="314"/>
      <c r="C1276" s="314"/>
      <c r="D1276" s="314"/>
      <c r="E1276" s="313"/>
      <c r="F1276" s="314"/>
    </row>
    <row r="1277" spans="1:6">
      <c r="A1277" s="314"/>
      <c r="B1277" s="314"/>
      <c r="C1277" s="314"/>
      <c r="D1277" s="314"/>
      <c r="E1277" s="313"/>
      <c r="F1277" s="314"/>
    </row>
    <row r="1278" spans="1:6">
      <c r="A1278" s="314"/>
      <c r="B1278" s="314"/>
      <c r="C1278" s="314"/>
      <c r="D1278" s="314"/>
      <c r="E1278" s="313"/>
      <c r="F1278" s="314"/>
    </row>
    <row r="1279" spans="1:6">
      <c r="A1279" s="314"/>
      <c r="B1279" s="314"/>
      <c r="C1279" s="314"/>
      <c r="D1279" s="314"/>
      <c r="E1279" s="313"/>
      <c r="F1279" s="314"/>
    </row>
    <row r="1280" spans="1:6">
      <c r="A1280" s="314"/>
      <c r="B1280" s="314"/>
      <c r="C1280" s="314"/>
      <c r="D1280" s="314"/>
      <c r="E1280" s="313"/>
      <c r="F1280" s="314"/>
    </row>
    <row r="1281" spans="1:6">
      <c r="A1281" s="314"/>
      <c r="B1281" s="314"/>
      <c r="C1281" s="314"/>
      <c r="D1281" s="314"/>
      <c r="E1281" s="313"/>
      <c r="F1281" s="314"/>
    </row>
    <row r="1282" spans="1:6">
      <c r="A1282" s="314"/>
      <c r="B1282" s="314"/>
      <c r="C1282" s="314"/>
      <c r="D1282" s="314"/>
      <c r="E1282" s="313"/>
      <c r="F1282" s="314"/>
    </row>
    <row r="1283" spans="1:6">
      <c r="A1283" s="314"/>
      <c r="B1283" s="314"/>
      <c r="C1283" s="314"/>
      <c r="D1283" s="314"/>
      <c r="E1283" s="313"/>
      <c r="F1283" s="314"/>
    </row>
    <row r="1284" spans="1:6">
      <c r="A1284" s="314"/>
      <c r="B1284" s="314"/>
      <c r="C1284" s="314"/>
      <c r="D1284" s="314"/>
      <c r="E1284" s="313"/>
      <c r="F1284" s="314"/>
    </row>
    <row r="1285" spans="1:6">
      <c r="A1285" s="314"/>
      <c r="B1285" s="314"/>
      <c r="C1285" s="314"/>
      <c r="D1285" s="314"/>
      <c r="E1285" s="313"/>
      <c r="F1285" s="314"/>
    </row>
    <row r="1286" spans="1:6">
      <c r="A1286" s="314"/>
      <c r="B1286" s="314"/>
      <c r="C1286" s="314"/>
      <c r="D1286" s="314"/>
      <c r="E1286" s="313"/>
      <c r="F1286" s="314"/>
    </row>
    <row r="1287" spans="1:6">
      <c r="A1287" s="314"/>
      <c r="B1287" s="314"/>
      <c r="C1287" s="314"/>
      <c r="D1287" s="314"/>
      <c r="E1287" s="313"/>
      <c r="F1287" s="314"/>
    </row>
    <row r="1288" spans="1:6">
      <c r="A1288" s="314"/>
      <c r="B1288" s="314"/>
      <c r="C1288" s="314"/>
      <c r="D1288" s="314"/>
      <c r="E1288" s="313"/>
      <c r="F1288" s="314"/>
    </row>
    <row r="1289" spans="1:6">
      <c r="A1289" s="314"/>
      <c r="B1289" s="314"/>
      <c r="C1289" s="314"/>
      <c r="D1289" s="314"/>
      <c r="E1289" s="313"/>
      <c r="F1289" s="314"/>
    </row>
    <row r="1290" spans="1:6">
      <c r="A1290" s="314"/>
      <c r="B1290" s="314"/>
      <c r="C1290" s="314"/>
      <c r="D1290" s="314"/>
      <c r="E1290" s="313"/>
      <c r="F1290" s="314"/>
    </row>
    <row r="1291" spans="1:6">
      <c r="A1291" s="314"/>
      <c r="B1291" s="314"/>
      <c r="C1291" s="314"/>
      <c r="D1291" s="314"/>
      <c r="E1291" s="313"/>
      <c r="F1291" s="314"/>
    </row>
    <row r="1292" spans="1:6">
      <c r="A1292" s="314"/>
      <c r="B1292" s="314"/>
      <c r="C1292" s="314"/>
      <c r="D1292" s="314"/>
      <c r="E1292" s="313"/>
      <c r="F1292" s="314"/>
    </row>
    <row r="1293" spans="1:6">
      <c r="A1293" s="314"/>
      <c r="B1293" s="314"/>
      <c r="C1293" s="314"/>
      <c r="D1293" s="314"/>
      <c r="E1293" s="313"/>
      <c r="F1293" s="314"/>
    </row>
    <row r="1294" spans="1:6">
      <c r="A1294" s="314"/>
      <c r="B1294" s="314"/>
      <c r="C1294" s="314"/>
      <c r="D1294" s="314"/>
      <c r="E1294" s="313"/>
      <c r="F1294" s="314"/>
    </row>
    <row r="1295" spans="1:6">
      <c r="A1295" s="314"/>
      <c r="B1295" s="314"/>
      <c r="C1295" s="314"/>
      <c r="D1295" s="314"/>
      <c r="E1295" s="313"/>
      <c r="F1295" s="314"/>
    </row>
    <row r="1296" spans="1:6">
      <c r="A1296" s="314"/>
      <c r="B1296" s="314"/>
      <c r="C1296" s="314"/>
      <c r="D1296" s="314"/>
      <c r="E1296" s="313"/>
      <c r="F1296" s="314"/>
    </row>
    <row r="1297" spans="1:6">
      <c r="A1297" s="314"/>
      <c r="B1297" s="314"/>
      <c r="C1297" s="314"/>
      <c r="D1297" s="314"/>
      <c r="E1297" s="313"/>
      <c r="F1297" s="314"/>
    </row>
    <row r="1298" spans="1:6">
      <c r="A1298" s="314"/>
      <c r="B1298" s="314"/>
      <c r="C1298" s="314"/>
      <c r="D1298" s="314"/>
      <c r="E1298" s="313"/>
      <c r="F1298" s="314"/>
    </row>
    <row r="1299" spans="1:6">
      <c r="A1299" s="314"/>
      <c r="B1299" s="314"/>
      <c r="C1299" s="314"/>
      <c r="D1299" s="314"/>
      <c r="E1299" s="313"/>
      <c r="F1299" s="314"/>
    </row>
    <row r="1300" spans="1:6">
      <c r="A1300" s="314"/>
      <c r="B1300" s="314"/>
      <c r="C1300" s="314"/>
      <c r="D1300" s="314"/>
      <c r="E1300" s="313"/>
      <c r="F1300" s="314"/>
    </row>
    <row r="1301" spans="1:6">
      <c r="A1301" s="314"/>
      <c r="B1301" s="314"/>
      <c r="C1301" s="314"/>
      <c r="D1301" s="314"/>
      <c r="E1301" s="313"/>
      <c r="F1301" s="314"/>
    </row>
    <row r="1302" spans="1:6">
      <c r="A1302" s="314"/>
      <c r="B1302" s="314"/>
      <c r="C1302" s="314"/>
      <c r="D1302" s="314"/>
      <c r="E1302" s="313"/>
      <c r="F1302" s="314"/>
    </row>
    <row r="1303" spans="1:6">
      <c r="A1303" s="314"/>
      <c r="B1303" s="314"/>
      <c r="C1303" s="314"/>
      <c r="D1303" s="314"/>
      <c r="E1303" s="313"/>
      <c r="F1303" s="314"/>
    </row>
    <row r="1304" spans="1:6">
      <c r="A1304" s="314"/>
      <c r="B1304" s="314"/>
      <c r="C1304" s="314"/>
      <c r="D1304" s="314"/>
      <c r="E1304" s="313"/>
      <c r="F1304" s="314"/>
    </row>
    <row r="1305" spans="1:6">
      <c r="A1305" s="314"/>
      <c r="B1305" s="314"/>
      <c r="C1305" s="314"/>
      <c r="D1305" s="314"/>
      <c r="E1305" s="313"/>
      <c r="F1305" s="314"/>
    </row>
    <row r="1306" spans="1:6">
      <c r="A1306" s="314"/>
      <c r="B1306" s="314"/>
      <c r="C1306" s="314"/>
      <c r="D1306" s="314"/>
      <c r="E1306" s="313"/>
      <c r="F1306" s="314"/>
    </row>
    <row r="1307" spans="1:6">
      <c r="A1307" s="314"/>
      <c r="B1307" s="314"/>
      <c r="C1307" s="314"/>
      <c r="D1307" s="314"/>
      <c r="E1307" s="313"/>
      <c r="F1307" s="314"/>
    </row>
    <row r="1308" spans="1:6">
      <c r="A1308" s="314"/>
      <c r="B1308" s="314"/>
      <c r="C1308" s="314"/>
      <c r="D1308" s="314"/>
      <c r="E1308" s="313"/>
      <c r="F1308" s="314"/>
    </row>
    <row r="1309" spans="1:6">
      <c r="A1309" s="314"/>
      <c r="B1309" s="314"/>
      <c r="C1309" s="314"/>
      <c r="D1309" s="314"/>
      <c r="E1309" s="313"/>
      <c r="F1309" s="314"/>
    </row>
    <row r="1310" spans="1:6">
      <c r="A1310" s="314"/>
      <c r="B1310" s="314"/>
      <c r="C1310" s="314"/>
      <c r="D1310" s="314"/>
      <c r="E1310" s="313"/>
      <c r="F1310" s="314"/>
    </row>
    <row r="1311" spans="1:6">
      <c r="A1311" s="314"/>
      <c r="B1311" s="314"/>
      <c r="C1311" s="314"/>
      <c r="D1311" s="314"/>
      <c r="E1311" s="313"/>
      <c r="F1311" s="314"/>
    </row>
    <row r="1312" spans="1:6">
      <c r="A1312" s="314"/>
      <c r="B1312" s="314"/>
      <c r="C1312" s="314"/>
      <c r="D1312" s="314"/>
      <c r="E1312" s="313"/>
      <c r="F1312" s="314"/>
    </row>
    <row r="1313" spans="1:6">
      <c r="A1313" s="314"/>
      <c r="B1313" s="314"/>
      <c r="C1313" s="314"/>
      <c r="D1313" s="314"/>
      <c r="E1313" s="313"/>
      <c r="F1313" s="314"/>
    </row>
    <row r="1314" spans="1:6">
      <c r="A1314" s="314"/>
      <c r="B1314" s="314"/>
      <c r="C1314" s="314"/>
      <c r="D1314" s="314"/>
      <c r="E1314" s="313"/>
      <c r="F1314" s="314"/>
    </row>
    <row r="1315" spans="1:6">
      <c r="A1315" s="314"/>
      <c r="B1315" s="314"/>
      <c r="C1315" s="314"/>
      <c r="D1315" s="314"/>
      <c r="E1315" s="313"/>
      <c r="F1315" s="314"/>
    </row>
    <row r="1316" spans="1:6">
      <c r="A1316" s="314"/>
      <c r="B1316" s="314"/>
      <c r="C1316" s="314"/>
      <c r="D1316" s="314"/>
      <c r="E1316" s="313"/>
      <c r="F1316" s="314"/>
    </row>
    <row r="1317" spans="1:6">
      <c r="A1317" s="314"/>
      <c r="B1317" s="314"/>
      <c r="C1317" s="314"/>
      <c r="D1317" s="314"/>
      <c r="E1317" s="313"/>
      <c r="F1317" s="314"/>
    </row>
    <row r="1318" spans="1:6">
      <c r="A1318" s="314"/>
      <c r="B1318" s="314"/>
      <c r="C1318" s="314"/>
      <c r="D1318" s="314"/>
      <c r="E1318" s="313"/>
      <c r="F1318" s="314"/>
    </row>
    <row r="1319" spans="1:6">
      <c r="A1319" s="314"/>
      <c r="B1319" s="314"/>
      <c r="C1319" s="314"/>
      <c r="D1319" s="314"/>
      <c r="E1319" s="313"/>
      <c r="F1319" s="314"/>
    </row>
    <row r="1320" spans="1:6">
      <c r="A1320" s="314"/>
      <c r="B1320" s="314"/>
      <c r="C1320" s="314"/>
      <c r="D1320" s="314"/>
      <c r="E1320" s="313"/>
      <c r="F1320" s="314"/>
    </row>
    <row r="1321" spans="1:6">
      <c r="A1321" s="314"/>
      <c r="B1321" s="314"/>
      <c r="C1321" s="314"/>
      <c r="D1321" s="314"/>
      <c r="E1321" s="313"/>
      <c r="F1321" s="314"/>
    </row>
    <row r="1322" spans="1:6">
      <c r="A1322" s="314"/>
      <c r="B1322" s="314"/>
      <c r="C1322" s="314"/>
      <c r="D1322" s="314"/>
      <c r="E1322" s="313"/>
      <c r="F1322" s="314"/>
    </row>
    <row r="1323" spans="1:6">
      <c r="A1323" s="314"/>
      <c r="B1323" s="314"/>
      <c r="C1323" s="314"/>
      <c r="D1323" s="314"/>
      <c r="E1323" s="313"/>
      <c r="F1323" s="314"/>
    </row>
    <row r="1324" spans="1:6">
      <c r="A1324" s="314"/>
      <c r="B1324" s="314"/>
      <c r="C1324" s="314"/>
      <c r="D1324" s="314"/>
      <c r="E1324" s="313"/>
      <c r="F1324" s="314"/>
    </row>
    <row r="1325" spans="1:6">
      <c r="A1325" s="314"/>
      <c r="B1325" s="314"/>
      <c r="C1325" s="314"/>
      <c r="D1325" s="314"/>
      <c r="E1325" s="313"/>
      <c r="F1325" s="314"/>
    </row>
    <row r="1326" spans="1:6">
      <c r="A1326" s="314"/>
      <c r="B1326" s="314"/>
      <c r="C1326" s="314"/>
      <c r="D1326" s="314"/>
      <c r="E1326" s="313"/>
      <c r="F1326" s="314"/>
    </row>
    <row r="1327" spans="1:6">
      <c r="A1327" s="314"/>
      <c r="B1327" s="314"/>
      <c r="C1327" s="314"/>
      <c r="D1327" s="314"/>
      <c r="E1327" s="313"/>
      <c r="F1327" s="314"/>
    </row>
    <row r="1328" spans="1:6">
      <c r="A1328" s="314"/>
      <c r="B1328" s="314"/>
      <c r="C1328" s="314"/>
      <c r="D1328" s="314"/>
      <c r="E1328" s="313"/>
      <c r="F1328" s="314"/>
    </row>
    <row r="1329" spans="1:6">
      <c r="A1329" s="314"/>
      <c r="B1329" s="314"/>
      <c r="C1329" s="314"/>
      <c r="D1329" s="314"/>
      <c r="E1329" s="313"/>
      <c r="F1329" s="314"/>
    </row>
    <row r="1330" spans="1:6">
      <c r="A1330" s="314"/>
      <c r="B1330" s="314"/>
      <c r="C1330" s="314"/>
      <c r="D1330" s="314"/>
      <c r="E1330" s="313"/>
      <c r="F1330" s="314"/>
    </row>
    <row r="1331" spans="1:6">
      <c r="A1331" s="314"/>
      <c r="B1331" s="314"/>
      <c r="C1331" s="314"/>
      <c r="D1331" s="314"/>
      <c r="E1331" s="313"/>
      <c r="F1331" s="314"/>
    </row>
    <row r="1332" spans="1:6">
      <c r="A1332" s="314"/>
      <c r="B1332" s="314"/>
      <c r="C1332" s="314"/>
      <c r="D1332" s="314"/>
      <c r="E1332" s="313"/>
      <c r="F1332" s="314"/>
    </row>
    <row r="1333" spans="1:6">
      <c r="A1333" s="314"/>
      <c r="B1333" s="314"/>
      <c r="C1333" s="314"/>
      <c r="D1333" s="314"/>
      <c r="E1333" s="313"/>
      <c r="F1333" s="314"/>
    </row>
    <row r="1334" spans="1:6">
      <c r="A1334" s="314"/>
      <c r="B1334" s="314"/>
      <c r="C1334" s="314"/>
      <c r="D1334" s="314"/>
      <c r="E1334" s="313"/>
      <c r="F1334" s="314"/>
    </row>
    <row r="1335" spans="1:6">
      <c r="A1335" s="314"/>
      <c r="B1335" s="314"/>
      <c r="C1335" s="314"/>
      <c r="D1335" s="314"/>
      <c r="E1335" s="313"/>
      <c r="F1335" s="314"/>
    </row>
    <row r="1336" spans="1:6">
      <c r="A1336" s="314"/>
      <c r="B1336" s="314"/>
      <c r="C1336" s="314"/>
      <c r="D1336" s="314"/>
      <c r="E1336" s="313"/>
      <c r="F1336" s="314"/>
    </row>
    <row r="1337" spans="1:6">
      <c r="A1337" s="314"/>
      <c r="B1337" s="314"/>
      <c r="C1337" s="314"/>
      <c r="D1337" s="314"/>
      <c r="E1337" s="313"/>
      <c r="F1337" s="314"/>
    </row>
    <row r="1338" spans="1:6">
      <c r="A1338" s="314"/>
      <c r="B1338" s="314"/>
      <c r="C1338" s="314"/>
      <c r="D1338" s="314"/>
      <c r="E1338" s="313"/>
      <c r="F1338" s="314"/>
    </row>
    <row r="1339" spans="1:6">
      <c r="A1339" s="314"/>
      <c r="B1339" s="314"/>
      <c r="C1339" s="314"/>
      <c r="D1339" s="314"/>
      <c r="E1339" s="313"/>
      <c r="F1339" s="314"/>
    </row>
    <row r="1340" spans="1:6">
      <c r="A1340" s="314"/>
      <c r="B1340" s="314"/>
      <c r="C1340" s="314"/>
      <c r="D1340" s="314"/>
      <c r="E1340" s="313"/>
      <c r="F1340" s="314"/>
    </row>
    <row r="1341" spans="1:6">
      <c r="A1341" s="314"/>
      <c r="B1341" s="314"/>
      <c r="C1341" s="314"/>
      <c r="D1341" s="314"/>
      <c r="E1341" s="313"/>
      <c r="F1341" s="314"/>
    </row>
    <row r="1342" spans="1:6">
      <c r="A1342" s="314"/>
      <c r="B1342" s="314"/>
      <c r="C1342" s="314"/>
      <c r="D1342" s="314"/>
      <c r="E1342" s="313"/>
      <c r="F1342" s="314"/>
    </row>
    <row r="1343" spans="1:6">
      <c r="A1343" s="314"/>
      <c r="B1343" s="314"/>
      <c r="C1343" s="314"/>
      <c r="D1343" s="314"/>
      <c r="E1343" s="313"/>
      <c r="F1343" s="314"/>
    </row>
    <row r="1344" spans="1:6">
      <c r="A1344" s="314"/>
      <c r="B1344" s="314"/>
      <c r="C1344" s="314"/>
      <c r="D1344" s="314"/>
      <c r="E1344" s="313"/>
      <c r="F1344" s="314"/>
    </row>
    <row r="1345" spans="1:6">
      <c r="A1345" s="314"/>
      <c r="B1345" s="314"/>
      <c r="C1345" s="314"/>
      <c r="D1345" s="314"/>
      <c r="E1345" s="313"/>
      <c r="F1345" s="314"/>
    </row>
    <row r="1346" spans="1:6">
      <c r="A1346" s="314"/>
      <c r="B1346" s="314"/>
      <c r="C1346" s="314"/>
      <c r="D1346" s="314"/>
      <c r="E1346" s="313"/>
      <c r="F1346" s="314"/>
    </row>
    <row r="1347" spans="1:6">
      <c r="A1347" s="314"/>
      <c r="B1347" s="314"/>
      <c r="C1347" s="314"/>
      <c r="D1347" s="314"/>
      <c r="E1347" s="313"/>
      <c r="F1347" s="314"/>
    </row>
    <row r="1348" spans="1:6">
      <c r="A1348" s="314"/>
      <c r="B1348" s="314"/>
      <c r="C1348" s="314"/>
      <c r="D1348" s="314"/>
      <c r="E1348" s="313"/>
      <c r="F1348" s="314"/>
    </row>
    <row r="1349" spans="1:6">
      <c r="A1349" s="314"/>
      <c r="B1349" s="314"/>
      <c r="C1349" s="314"/>
      <c r="D1349" s="314"/>
      <c r="E1349" s="313"/>
      <c r="F1349" s="314"/>
    </row>
    <row r="1350" spans="1:6">
      <c r="A1350" s="314"/>
      <c r="B1350" s="314"/>
      <c r="C1350" s="314"/>
      <c r="D1350" s="314"/>
      <c r="E1350" s="313"/>
      <c r="F1350" s="314"/>
    </row>
    <row r="1351" spans="1:6">
      <c r="A1351" s="314"/>
      <c r="B1351" s="314"/>
      <c r="C1351" s="314"/>
      <c r="D1351" s="314"/>
      <c r="E1351" s="313"/>
      <c r="F1351" s="314"/>
    </row>
    <row r="1352" spans="1:6">
      <c r="A1352" s="314"/>
      <c r="B1352" s="314"/>
      <c r="C1352" s="314"/>
      <c r="D1352" s="314"/>
      <c r="E1352" s="313"/>
      <c r="F1352" s="314"/>
    </row>
    <row r="1353" spans="1:6">
      <c r="A1353" s="314"/>
      <c r="B1353" s="314"/>
      <c r="C1353" s="314"/>
      <c r="D1353" s="314"/>
      <c r="E1353" s="313"/>
      <c r="F1353" s="314"/>
    </row>
    <row r="1354" spans="1:6">
      <c r="A1354" s="314"/>
      <c r="B1354" s="314"/>
      <c r="C1354" s="314"/>
      <c r="D1354" s="314"/>
      <c r="E1354" s="313"/>
      <c r="F1354" s="314"/>
    </row>
    <row r="1355" spans="1:6">
      <c r="A1355" s="314"/>
      <c r="B1355" s="314"/>
      <c r="C1355" s="314"/>
      <c r="D1355" s="314"/>
      <c r="E1355" s="313"/>
      <c r="F1355" s="314"/>
    </row>
    <row r="1356" spans="1:6">
      <c r="A1356" s="314"/>
      <c r="B1356" s="314"/>
      <c r="C1356" s="314"/>
      <c r="D1356" s="314"/>
      <c r="E1356" s="313"/>
      <c r="F1356" s="314"/>
    </row>
    <row r="1357" spans="1:6">
      <c r="A1357" s="314"/>
      <c r="B1357" s="314"/>
      <c r="C1357" s="314"/>
      <c r="D1357" s="314"/>
      <c r="E1357" s="313"/>
      <c r="F1357" s="314"/>
    </row>
    <row r="1358" spans="1:6">
      <c r="A1358" s="314"/>
      <c r="B1358" s="314"/>
      <c r="C1358" s="314"/>
      <c r="D1358" s="314"/>
      <c r="E1358" s="313"/>
      <c r="F1358" s="314"/>
    </row>
    <row r="1359" spans="1:6">
      <c r="A1359" s="314"/>
      <c r="B1359" s="314"/>
      <c r="C1359" s="314"/>
      <c r="D1359" s="314"/>
      <c r="E1359" s="313"/>
      <c r="F1359" s="314"/>
    </row>
    <row r="1360" spans="1:6">
      <c r="A1360" s="314"/>
      <c r="B1360" s="314"/>
      <c r="C1360" s="314"/>
      <c r="D1360" s="314"/>
      <c r="E1360" s="313"/>
      <c r="F1360" s="314"/>
    </row>
    <row r="1361" spans="1:6">
      <c r="A1361" s="314"/>
      <c r="B1361" s="314"/>
      <c r="C1361" s="314"/>
      <c r="D1361" s="314"/>
      <c r="E1361" s="313"/>
      <c r="F1361" s="314"/>
    </row>
    <row r="1362" spans="1:6">
      <c r="A1362" s="314"/>
      <c r="B1362" s="314"/>
      <c r="C1362" s="314"/>
      <c r="D1362" s="314"/>
      <c r="E1362" s="313"/>
      <c r="F1362" s="314"/>
    </row>
    <row r="1363" spans="1:6">
      <c r="A1363" s="314"/>
      <c r="B1363" s="314"/>
      <c r="C1363" s="314"/>
      <c r="D1363" s="314"/>
      <c r="E1363" s="313"/>
      <c r="F1363" s="314"/>
    </row>
    <row r="1364" spans="1:6">
      <c r="A1364" s="314"/>
      <c r="B1364" s="314"/>
      <c r="C1364" s="314"/>
      <c r="D1364" s="314"/>
      <c r="E1364" s="313"/>
      <c r="F1364" s="314"/>
    </row>
    <row r="1365" spans="1:6">
      <c r="A1365" s="314"/>
      <c r="B1365" s="314"/>
      <c r="C1365" s="314"/>
      <c r="D1365" s="314"/>
      <c r="E1365" s="313"/>
      <c r="F1365" s="314"/>
    </row>
    <row r="1366" spans="1:6">
      <c r="A1366" s="314"/>
      <c r="B1366" s="314"/>
      <c r="C1366" s="314"/>
      <c r="D1366" s="314"/>
      <c r="E1366" s="313"/>
      <c r="F1366" s="314"/>
    </row>
    <row r="1367" spans="1:6">
      <c r="A1367" s="314"/>
      <c r="B1367" s="314"/>
      <c r="C1367" s="314"/>
      <c r="D1367" s="314"/>
      <c r="E1367" s="313"/>
      <c r="F1367" s="314"/>
    </row>
    <row r="1368" spans="1:6">
      <c r="A1368" s="314"/>
      <c r="B1368" s="314"/>
      <c r="C1368" s="314"/>
      <c r="D1368" s="314"/>
      <c r="E1368" s="313"/>
      <c r="F1368" s="314"/>
    </row>
    <row r="1369" spans="1:6">
      <c r="A1369" s="314"/>
      <c r="B1369" s="314"/>
      <c r="C1369" s="314"/>
      <c r="D1369" s="314"/>
      <c r="E1369" s="313"/>
      <c r="F1369" s="314"/>
    </row>
    <row r="1370" spans="1:6">
      <c r="A1370" s="314"/>
      <c r="B1370" s="314"/>
      <c r="C1370" s="314"/>
      <c r="D1370" s="314"/>
      <c r="E1370" s="313"/>
      <c r="F1370" s="314"/>
    </row>
    <row r="1371" spans="1:6">
      <c r="A1371" s="314"/>
      <c r="B1371" s="314"/>
      <c r="C1371" s="314"/>
      <c r="D1371" s="314"/>
      <c r="E1371" s="313"/>
      <c r="F1371" s="314"/>
    </row>
    <row r="1372" spans="1:6">
      <c r="A1372" s="314"/>
      <c r="B1372" s="314"/>
      <c r="C1372" s="314"/>
      <c r="D1372" s="314"/>
      <c r="E1372" s="313"/>
      <c r="F1372" s="314"/>
    </row>
    <row r="1373" spans="1:6">
      <c r="A1373" s="314"/>
      <c r="B1373" s="314"/>
      <c r="C1373" s="314"/>
      <c r="D1373" s="314"/>
      <c r="E1373" s="313"/>
      <c r="F1373" s="314"/>
    </row>
    <row r="1374" spans="1:6">
      <c r="A1374" s="314"/>
      <c r="B1374" s="314"/>
      <c r="C1374" s="314"/>
      <c r="D1374" s="314"/>
      <c r="E1374" s="313"/>
      <c r="F1374" s="314"/>
    </row>
    <row r="1375" spans="1:6">
      <c r="A1375" s="314"/>
      <c r="B1375" s="314"/>
      <c r="C1375" s="314"/>
      <c r="D1375" s="314"/>
      <c r="E1375" s="313"/>
      <c r="F1375" s="314"/>
    </row>
    <row r="1376" spans="1:6">
      <c r="A1376" s="314"/>
      <c r="B1376" s="314"/>
      <c r="C1376" s="314"/>
      <c r="D1376" s="314"/>
      <c r="E1376" s="313"/>
      <c r="F1376" s="314"/>
    </row>
    <row r="1377" spans="1:6">
      <c r="A1377" s="314"/>
      <c r="B1377" s="314"/>
      <c r="C1377" s="314"/>
      <c r="D1377" s="314"/>
      <c r="E1377" s="313"/>
      <c r="F1377" s="314"/>
    </row>
    <row r="1378" spans="1:6">
      <c r="A1378" s="314"/>
      <c r="B1378" s="314"/>
      <c r="C1378" s="314"/>
      <c r="D1378" s="314"/>
      <c r="E1378" s="313"/>
      <c r="F1378" s="314"/>
    </row>
    <row r="1379" spans="1:6">
      <c r="A1379" s="314"/>
      <c r="B1379" s="314"/>
      <c r="C1379" s="314"/>
      <c r="D1379" s="314"/>
      <c r="E1379" s="313"/>
      <c r="F1379" s="314"/>
    </row>
    <row r="1380" spans="1:6">
      <c r="A1380" s="314"/>
      <c r="B1380" s="314"/>
      <c r="C1380" s="314"/>
      <c r="D1380" s="314"/>
      <c r="E1380" s="313"/>
      <c r="F1380" s="314"/>
    </row>
    <row r="1381" spans="1:6">
      <c r="A1381" s="314"/>
      <c r="B1381" s="314"/>
      <c r="C1381" s="314"/>
      <c r="D1381" s="314"/>
      <c r="E1381" s="313"/>
      <c r="F1381" s="314"/>
    </row>
    <row r="1382" spans="1:6">
      <c r="A1382" s="314"/>
      <c r="B1382" s="314"/>
      <c r="C1382" s="314"/>
      <c r="D1382" s="314"/>
      <c r="E1382" s="313"/>
      <c r="F1382" s="314"/>
    </row>
    <row r="1383" spans="1:6">
      <c r="A1383" s="314"/>
      <c r="B1383" s="314"/>
      <c r="C1383" s="314"/>
      <c r="D1383" s="314"/>
      <c r="E1383" s="313"/>
      <c r="F1383" s="314"/>
    </row>
    <row r="1384" spans="1:6">
      <c r="A1384" s="314"/>
      <c r="B1384" s="314"/>
      <c r="C1384" s="314"/>
      <c r="D1384" s="314"/>
      <c r="E1384" s="313"/>
      <c r="F1384" s="314"/>
    </row>
    <row r="1385" spans="1:6">
      <c r="A1385" s="314"/>
      <c r="B1385" s="314"/>
      <c r="C1385" s="314"/>
      <c r="D1385" s="314"/>
      <c r="E1385" s="313"/>
      <c r="F1385" s="314"/>
    </row>
    <row r="1386" spans="1:6">
      <c r="A1386" s="314"/>
      <c r="B1386" s="314"/>
      <c r="C1386" s="314"/>
      <c r="D1386" s="314"/>
      <c r="E1386" s="313"/>
      <c r="F1386" s="314"/>
    </row>
    <row r="1387" spans="1:6">
      <c r="A1387" s="314"/>
      <c r="B1387" s="314"/>
      <c r="C1387" s="314"/>
      <c r="D1387" s="314"/>
      <c r="E1387" s="313"/>
      <c r="F1387" s="314"/>
    </row>
    <row r="1388" spans="1:6">
      <c r="A1388" s="314"/>
      <c r="B1388" s="314"/>
      <c r="C1388" s="314"/>
      <c r="D1388" s="314"/>
      <c r="E1388" s="313"/>
      <c r="F1388" s="314"/>
    </row>
    <row r="1389" spans="1:6">
      <c r="A1389" s="314"/>
      <c r="B1389" s="314"/>
      <c r="C1389" s="314"/>
      <c r="D1389" s="314"/>
      <c r="E1389" s="313"/>
      <c r="F1389" s="314"/>
    </row>
    <row r="1390" spans="1:6">
      <c r="A1390" s="314"/>
      <c r="B1390" s="314"/>
      <c r="C1390" s="314"/>
      <c r="D1390" s="314"/>
      <c r="E1390" s="313"/>
      <c r="F1390" s="314"/>
    </row>
    <row r="1391" spans="1:6">
      <c r="A1391" s="314"/>
      <c r="B1391" s="314"/>
      <c r="C1391" s="314"/>
      <c r="D1391" s="314"/>
      <c r="E1391" s="313"/>
      <c r="F1391" s="314"/>
    </row>
    <row r="1392" spans="1:6">
      <c r="A1392" s="314"/>
      <c r="B1392" s="314"/>
      <c r="C1392" s="314"/>
      <c r="D1392" s="314"/>
      <c r="E1392" s="313"/>
      <c r="F1392" s="314"/>
    </row>
    <row r="1393" spans="1:6">
      <c r="A1393" s="314"/>
      <c r="B1393" s="314"/>
      <c r="C1393" s="314"/>
      <c r="D1393" s="314"/>
      <c r="E1393" s="313"/>
      <c r="F1393" s="314"/>
    </row>
    <row r="1394" spans="1:6">
      <c r="A1394" s="314"/>
      <c r="B1394" s="314"/>
      <c r="C1394" s="314"/>
      <c r="D1394" s="314"/>
      <c r="E1394" s="313"/>
      <c r="F1394" s="314"/>
    </row>
    <row r="1395" spans="1:6">
      <c r="A1395" s="314"/>
      <c r="B1395" s="314"/>
      <c r="C1395" s="314"/>
      <c r="D1395" s="314"/>
      <c r="E1395" s="313"/>
      <c r="F1395" s="314"/>
    </row>
    <row r="1396" spans="1:6">
      <c r="A1396" s="314"/>
      <c r="B1396" s="314"/>
      <c r="C1396" s="314"/>
      <c r="D1396" s="314"/>
      <c r="E1396" s="313"/>
      <c r="F1396" s="314"/>
    </row>
    <row r="1397" spans="1:6">
      <c r="A1397" s="314"/>
      <c r="B1397" s="314"/>
      <c r="C1397" s="314"/>
      <c r="D1397" s="314"/>
      <c r="E1397" s="313"/>
      <c r="F1397" s="314"/>
    </row>
    <row r="1398" spans="1:6">
      <c r="A1398" s="314"/>
      <c r="B1398" s="314"/>
      <c r="C1398" s="314"/>
      <c r="D1398" s="314"/>
      <c r="E1398" s="313"/>
      <c r="F1398" s="314"/>
    </row>
    <row r="1399" spans="1:6">
      <c r="A1399" s="314"/>
      <c r="B1399" s="314"/>
      <c r="C1399" s="314"/>
      <c r="D1399" s="314"/>
      <c r="E1399" s="313"/>
      <c r="F1399" s="314"/>
    </row>
    <row r="1400" spans="1:6">
      <c r="A1400" s="314"/>
      <c r="B1400" s="314"/>
      <c r="C1400" s="314"/>
      <c r="D1400" s="314"/>
      <c r="E1400" s="313"/>
      <c r="F1400" s="314"/>
    </row>
    <row r="1401" spans="1:6">
      <c r="A1401" s="314"/>
      <c r="B1401" s="314"/>
      <c r="C1401" s="314"/>
      <c r="D1401" s="314"/>
      <c r="E1401" s="313"/>
      <c r="F1401" s="314"/>
    </row>
    <row r="1402" spans="1:6">
      <c r="A1402" s="314"/>
      <c r="B1402" s="314"/>
      <c r="C1402" s="314"/>
      <c r="D1402" s="314"/>
      <c r="E1402" s="313"/>
      <c r="F1402" s="314"/>
    </row>
    <row r="1403" spans="1:6">
      <c r="A1403" s="314"/>
      <c r="B1403" s="314"/>
      <c r="C1403" s="314"/>
      <c r="D1403" s="314"/>
      <c r="E1403" s="313"/>
      <c r="F1403" s="314"/>
    </row>
    <row r="1404" spans="1:6">
      <c r="A1404" s="314"/>
      <c r="B1404" s="314"/>
      <c r="C1404" s="314"/>
      <c r="D1404" s="314"/>
      <c r="E1404" s="313"/>
      <c r="F1404" s="314"/>
    </row>
    <row r="1405" spans="1:6">
      <c r="A1405" s="314"/>
      <c r="B1405" s="314"/>
      <c r="C1405" s="314"/>
      <c r="D1405" s="314"/>
      <c r="E1405" s="313"/>
      <c r="F1405" s="314"/>
    </row>
    <row r="1406" spans="1:6">
      <c r="A1406" s="314"/>
      <c r="B1406" s="314"/>
      <c r="C1406" s="314"/>
      <c r="D1406" s="314"/>
      <c r="E1406" s="313"/>
      <c r="F1406" s="314"/>
    </row>
    <row r="1407" spans="1:6">
      <c r="A1407" s="314"/>
      <c r="B1407" s="314"/>
      <c r="C1407" s="314"/>
      <c r="D1407" s="314"/>
      <c r="E1407" s="313"/>
      <c r="F1407" s="314"/>
    </row>
    <row r="1408" spans="1:6">
      <c r="A1408" s="314"/>
      <c r="B1408" s="314"/>
      <c r="C1408" s="314"/>
      <c r="D1408" s="314"/>
      <c r="E1408" s="313"/>
      <c r="F1408" s="314"/>
    </row>
    <row r="1409" spans="1:6">
      <c r="A1409" s="314"/>
      <c r="B1409" s="314"/>
      <c r="C1409" s="314"/>
      <c r="D1409" s="314"/>
      <c r="E1409" s="313"/>
      <c r="F1409" s="314"/>
    </row>
    <row r="1410" spans="1:6">
      <c r="A1410" s="314"/>
      <c r="B1410" s="314"/>
      <c r="C1410" s="314"/>
      <c r="D1410" s="314"/>
      <c r="E1410" s="313"/>
      <c r="F1410" s="314"/>
    </row>
    <row r="1411" spans="1:6">
      <c r="A1411" s="314"/>
      <c r="B1411" s="314"/>
      <c r="C1411" s="314"/>
      <c r="D1411" s="314"/>
      <c r="E1411" s="313"/>
      <c r="F1411" s="314"/>
    </row>
    <row r="1412" spans="1:6">
      <c r="A1412" s="314"/>
      <c r="B1412" s="314"/>
      <c r="C1412" s="314"/>
      <c r="D1412" s="314"/>
      <c r="E1412" s="313"/>
      <c r="F1412" s="314"/>
    </row>
    <row r="1413" spans="1:6">
      <c r="A1413" s="314"/>
      <c r="B1413" s="314"/>
      <c r="C1413" s="314"/>
      <c r="D1413" s="314"/>
      <c r="E1413" s="313"/>
      <c r="F1413" s="314"/>
    </row>
    <row r="1414" spans="1:6">
      <c r="A1414" s="314"/>
      <c r="B1414" s="314"/>
      <c r="C1414" s="314"/>
      <c r="D1414" s="314"/>
      <c r="E1414" s="313"/>
      <c r="F1414" s="314"/>
    </row>
    <row r="1415" spans="1:6">
      <c r="A1415" s="314"/>
      <c r="B1415" s="314"/>
      <c r="C1415" s="314"/>
      <c r="D1415" s="314"/>
      <c r="E1415" s="313"/>
      <c r="F1415" s="314"/>
    </row>
    <row r="1416" spans="1:6">
      <c r="A1416" s="314"/>
      <c r="B1416" s="314"/>
      <c r="C1416" s="314"/>
      <c r="D1416" s="314"/>
      <c r="E1416" s="313"/>
      <c r="F1416" s="314"/>
    </row>
    <row r="1417" spans="1:6">
      <c r="A1417" s="314"/>
      <c r="B1417" s="314"/>
      <c r="C1417" s="314"/>
      <c r="D1417" s="314"/>
      <c r="E1417" s="313"/>
      <c r="F1417" s="314"/>
    </row>
    <row r="1418" spans="1:6">
      <c r="A1418" s="314"/>
      <c r="B1418" s="314"/>
      <c r="C1418" s="314"/>
      <c r="D1418" s="314"/>
      <c r="E1418" s="313"/>
      <c r="F1418" s="314"/>
    </row>
    <row r="1419" spans="1:6">
      <c r="A1419" s="314"/>
      <c r="B1419" s="314"/>
      <c r="C1419" s="314"/>
      <c r="D1419" s="314"/>
      <c r="E1419" s="313"/>
      <c r="F1419" s="314"/>
    </row>
    <row r="1420" spans="1:6">
      <c r="A1420" s="314"/>
      <c r="B1420" s="314"/>
      <c r="C1420" s="314"/>
      <c r="D1420" s="314"/>
      <c r="E1420" s="313"/>
      <c r="F1420" s="314"/>
    </row>
    <row r="1421" spans="1:6">
      <c r="A1421" s="314"/>
      <c r="B1421" s="314"/>
      <c r="C1421" s="314"/>
      <c r="D1421" s="314"/>
      <c r="E1421" s="313"/>
      <c r="F1421" s="314"/>
    </row>
    <row r="1422" spans="1:6">
      <c r="A1422" s="314"/>
      <c r="B1422" s="314"/>
      <c r="C1422" s="314"/>
      <c r="D1422" s="314"/>
      <c r="E1422" s="313"/>
      <c r="F1422" s="314"/>
    </row>
    <row r="1423" spans="1:6">
      <c r="A1423" s="314"/>
      <c r="B1423" s="314"/>
      <c r="C1423" s="314"/>
      <c r="D1423" s="314"/>
      <c r="E1423" s="313"/>
      <c r="F1423" s="314"/>
    </row>
    <row r="1424" spans="1:6">
      <c r="A1424" s="314"/>
      <c r="B1424" s="314"/>
      <c r="C1424" s="314"/>
      <c r="D1424" s="314"/>
      <c r="E1424" s="313"/>
      <c r="F1424" s="314"/>
    </row>
    <row r="1425" spans="1:6">
      <c r="A1425" s="314"/>
      <c r="B1425" s="314"/>
      <c r="C1425" s="314"/>
      <c r="D1425" s="314"/>
      <c r="E1425" s="313"/>
      <c r="F1425" s="314"/>
    </row>
    <row r="1426" spans="1:6">
      <c r="A1426" s="314"/>
      <c r="B1426" s="314"/>
      <c r="C1426" s="314"/>
      <c r="D1426" s="314"/>
      <c r="E1426" s="313"/>
      <c r="F1426" s="314"/>
    </row>
    <row r="1427" spans="1:6">
      <c r="A1427" s="314"/>
      <c r="B1427" s="314"/>
      <c r="C1427" s="314"/>
      <c r="D1427" s="314"/>
      <c r="E1427" s="313"/>
      <c r="F1427" s="314"/>
    </row>
    <row r="1428" spans="1:6">
      <c r="A1428" s="314"/>
      <c r="B1428" s="314"/>
      <c r="C1428" s="314"/>
      <c r="D1428" s="314"/>
      <c r="E1428" s="313"/>
      <c r="F1428" s="314"/>
    </row>
    <row r="1429" spans="1:6">
      <c r="A1429" s="314"/>
      <c r="B1429" s="314"/>
      <c r="C1429" s="314"/>
      <c r="D1429" s="314"/>
      <c r="E1429" s="313"/>
      <c r="F1429" s="314"/>
    </row>
    <row r="1430" spans="1:6">
      <c r="A1430" s="314"/>
      <c r="B1430" s="314"/>
      <c r="C1430" s="314"/>
      <c r="D1430" s="314"/>
      <c r="E1430" s="313"/>
      <c r="F1430" s="314"/>
    </row>
    <row r="1431" spans="1:6">
      <c r="A1431" s="314"/>
      <c r="B1431" s="314"/>
      <c r="C1431" s="314"/>
      <c r="D1431" s="314"/>
      <c r="E1431" s="313"/>
      <c r="F1431" s="314"/>
    </row>
    <row r="1432" spans="1:6">
      <c r="A1432" s="314"/>
      <c r="B1432" s="314"/>
      <c r="C1432" s="314"/>
      <c r="D1432" s="314"/>
      <c r="E1432" s="313"/>
      <c r="F1432" s="314"/>
    </row>
    <row r="1433" spans="1:6">
      <c r="A1433" s="314"/>
      <c r="B1433" s="314"/>
      <c r="C1433" s="314"/>
      <c r="D1433" s="314"/>
      <c r="E1433" s="313"/>
      <c r="F1433" s="314"/>
    </row>
    <row r="1434" spans="1:6">
      <c r="A1434" s="314"/>
      <c r="B1434" s="314"/>
      <c r="C1434" s="314"/>
      <c r="D1434" s="314"/>
      <c r="E1434" s="313"/>
      <c r="F1434" s="314"/>
    </row>
    <row r="1435" spans="1:6">
      <c r="A1435" s="314"/>
      <c r="B1435" s="314"/>
      <c r="C1435" s="314"/>
      <c r="D1435" s="314"/>
      <c r="E1435" s="313"/>
      <c r="F1435" s="314"/>
    </row>
    <row r="1436" spans="1:6">
      <c r="A1436" s="314"/>
      <c r="B1436" s="314"/>
      <c r="C1436" s="314"/>
      <c r="D1436" s="314"/>
      <c r="E1436" s="313"/>
      <c r="F1436" s="314"/>
    </row>
    <row r="1437" spans="1:6">
      <c r="A1437" s="314"/>
      <c r="B1437" s="314"/>
      <c r="C1437" s="314"/>
      <c r="D1437" s="314"/>
      <c r="E1437" s="313"/>
      <c r="F1437" s="314"/>
    </row>
    <row r="1438" spans="1:6">
      <c r="A1438" s="314"/>
      <c r="B1438" s="314"/>
      <c r="C1438" s="314"/>
      <c r="D1438" s="314"/>
      <c r="E1438" s="313"/>
      <c r="F1438" s="314"/>
    </row>
    <row r="1439" spans="1:6">
      <c r="A1439" s="314"/>
      <c r="B1439" s="314"/>
      <c r="C1439" s="314"/>
      <c r="D1439" s="314"/>
      <c r="E1439" s="313"/>
      <c r="F1439" s="314"/>
    </row>
    <row r="1440" spans="1:6">
      <c r="A1440" s="314"/>
      <c r="B1440" s="314"/>
      <c r="C1440" s="314"/>
      <c r="D1440" s="314"/>
      <c r="E1440" s="313"/>
      <c r="F1440" s="314"/>
    </row>
    <row r="1441" spans="1:6">
      <c r="A1441" s="314"/>
      <c r="B1441" s="314"/>
      <c r="C1441" s="314"/>
      <c r="D1441" s="314"/>
      <c r="E1441" s="313"/>
      <c r="F1441" s="314"/>
    </row>
    <row r="1442" spans="1:6">
      <c r="A1442" s="314"/>
      <c r="B1442" s="314"/>
      <c r="C1442" s="314"/>
      <c r="D1442" s="314"/>
      <c r="E1442" s="313"/>
      <c r="F1442" s="314"/>
    </row>
    <row r="1443" spans="1:6">
      <c r="A1443" s="314"/>
      <c r="B1443" s="314"/>
      <c r="C1443" s="314"/>
      <c r="D1443" s="314"/>
      <c r="E1443" s="313"/>
      <c r="F1443" s="314"/>
    </row>
    <row r="1444" spans="1:6">
      <c r="A1444" s="314"/>
      <c r="B1444" s="314"/>
      <c r="C1444" s="314"/>
      <c r="D1444" s="314"/>
      <c r="E1444" s="313"/>
      <c r="F1444" s="314"/>
    </row>
    <row r="1445" spans="1:6">
      <c r="A1445" s="314"/>
      <c r="B1445" s="314"/>
      <c r="C1445" s="314"/>
      <c r="D1445" s="314"/>
      <c r="E1445" s="313"/>
      <c r="F1445" s="314"/>
    </row>
    <row r="1446" spans="1:6">
      <c r="A1446" s="314"/>
      <c r="B1446" s="314"/>
      <c r="C1446" s="314"/>
      <c r="D1446" s="314"/>
      <c r="E1446" s="313"/>
      <c r="F1446" s="314"/>
    </row>
    <row r="1447" spans="1:6">
      <c r="A1447" s="314"/>
      <c r="B1447" s="314"/>
      <c r="C1447" s="314"/>
      <c r="D1447" s="314"/>
      <c r="E1447" s="313"/>
      <c r="F1447" s="314"/>
    </row>
    <row r="1448" spans="1:6">
      <c r="A1448" s="314"/>
      <c r="B1448" s="314"/>
      <c r="C1448" s="314"/>
      <c r="D1448" s="314"/>
      <c r="E1448" s="313"/>
      <c r="F1448" s="314"/>
    </row>
    <row r="1449" spans="1:6">
      <c r="A1449" s="314"/>
      <c r="B1449" s="314"/>
      <c r="C1449" s="314"/>
      <c r="D1449" s="314"/>
      <c r="E1449" s="313"/>
      <c r="F1449" s="314"/>
    </row>
    <row r="1450" spans="1:6">
      <c r="A1450" s="314"/>
      <c r="B1450" s="314"/>
      <c r="C1450" s="314"/>
      <c r="D1450" s="314"/>
      <c r="E1450" s="313"/>
      <c r="F1450" s="314"/>
    </row>
    <row r="1451" spans="1:6">
      <c r="A1451" s="314"/>
      <c r="B1451" s="314"/>
      <c r="C1451" s="314"/>
      <c r="D1451" s="314"/>
      <c r="E1451" s="313"/>
      <c r="F1451" s="314"/>
    </row>
    <row r="1452" spans="1:6">
      <c r="A1452" s="314"/>
      <c r="B1452" s="314"/>
      <c r="C1452" s="314"/>
      <c r="D1452" s="314"/>
      <c r="E1452" s="313"/>
      <c r="F1452" s="314"/>
    </row>
    <row r="1453" spans="1:6">
      <c r="A1453" s="314"/>
      <c r="B1453" s="314"/>
      <c r="C1453" s="314"/>
      <c r="D1453" s="314"/>
      <c r="E1453" s="313"/>
      <c r="F1453" s="314"/>
    </row>
    <row r="1454" spans="1:6">
      <c r="A1454" s="314"/>
      <c r="B1454" s="314"/>
      <c r="C1454" s="314"/>
      <c r="D1454" s="314"/>
      <c r="E1454" s="313"/>
      <c r="F1454" s="314"/>
    </row>
    <row r="1455" spans="1:6">
      <c r="A1455" s="314"/>
      <c r="B1455" s="314"/>
      <c r="C1455" s="314"/>
      <c r="D1455" s="314"/>
      <c r="E1455" s="313"/>
      <c r="F1455" s="314"/>
    </row>
    <row r="1456" spans="1:6">
      <c r="A1456" s="314"/>
      <c r="B1456" s="314"/>
      <c r="C1456" s="314"/>
      <c r="D1456" s="314"/>
      <c r="E1456" s="313"/>
      <c r="F1456" s="314"/>
    </row>
    <row r="1457" spans="1:6">
      <c r="A1457" s="314"/>
      <c r="B1457" s="314"/>
      <c r="C1457" s="314"/>
      <c r="D1457" s="314"/>
      <c r="E1457" s="313"/>
      <c r="F1457" s="314"/>
    </row>
    <row r="1458" spans="1:6">
      <c r="A1458" s="314"/>
      <c r="B1458" s="314"/>
      <c r="C1458" s="314"/>
      <c r="D1458" s="314"/>
      <c r="E1458" s="313"/>
      <c r="F1458" s="314"/>
    </row>
    <row r="1459" spans="1:6">
      <c r="A1459" s="314"/>
      <c r="B1459" s="314"/>
      <c r="C1459" s="314"/>
      <c r="D1459" s="314"/>
      <c r="E1459" s="313"/>
      <c r="F1459" s="314"/>
    </row>
    <row r="1460" spans="1:6">
      <c r="A1460" s="314"/>
      <c r="B1460" s="314"/>
      <c r="C1460" s="314"/>
      <c r="D1460" s="314"/>
      <c r="E1460" s="313"/>
      <c r="F1460" s="314"/>
    </row>
    <row r="1461" spans="1:6">
      <c r="A1461" s="314"/>
      <c r="B1461" s="314"/>
      <c r="C1461" s="314"/>
      <c r="D1461" s="314"/>
      <c r="E1461" s="313"/>
      <c r="F1461" s="314"/>
    </row>
    <row r="1462" spans="1:6">
      <c r="A1462" s="314"/>
      <c r="B1462" s="314"/>
      <c r="C1462" s="314"/>
      <c r="D1462" s="314"/>
      <c r="E1462" s="313"/>
      <c r="F1462" s="314"/>
    </row>
    <row r="1463" spans="1:6">
      <c r="A1463" s="314"/>
      <c r="B1463" s="314"/>
      <c r="C1463" s="314"/>
      <c r="D1463" s="314"/>
      <c r="E1463" s="313"/>
      <c r="F1463" s="314"/>
    </row>
    <row r="1464" spans="1:6">
      <c r="A1464" s="314"/>
      <c r="B1464" s="314"/>
      <c r="C1464" s="314"/>
      <c r="D1464" s="314"/>
      <c r="E1464" s="313"/>
      <c r="F1464" s="314"/>
    </row>
    <row r="1465" spans="1:6">
      <c r="A1465" s="314"/>
      <c r="B1465" s="314"/>
      <c r="C1465" s="314"/>
      <c r="D1465" s="314"/>
      <c r="E1465" s="313"/>
      <c r="F1465" s="314"/>
    </row>
    <row r="1466" spans="1:6">
      <c r="A1466" s="314"/>
      <c r="B1466" s="314"/>
      <c r="C1466" s="314"/>
      <c r="D1466" s="314"/>
      <c r="E1466" s="313"/>
      <c r="F1466" s="314"/>
    </row>
    <row r="1467" spans="1:6">
      <c r="A1467" s="314"/>
      <c r="B1467" s="314"/>
      <c r="C1467" s="314"/>
      <c r="D1467" s="314"/>
      <c r="E1467" s="313"/>
      <c r="F1467" s="314"/>
    </row>
    <row r="1468" spans="1:6">
      <c r="A1468" s="314"/>
      <c r="B1468" s="314"/>
      <c r="C1468" s="314"/>
      <c r="D1468" s="314"/>
      <c r="E1468" s="313"/>
      <c r="F1468" s="314"/>
    </row>
    <row r="1469" spans="1:6">
      <c r="A1469" s="314"/>
      <c r="B1469" s="314"/>
      <c r="C1469" s="314"/>
      <c r="D1469" s="314"/>
      <c r="E1469" s="313"/>
      <c r="F1469" s="314"/>
    </row>
    <row r="1470" spans="1:6">
      <c r="A1470" s="314"/>
      <c r="B1470" s="314"/>
      <c r="C1470" s="314"/>
      <c r="D1470" s="314"/>
      <c r="E1470" s="313"/>
      <c r="F1470" s="314"/>
    </row>
    <row r="1471" spans="1:6">
      <c r="A1471" s="314"/>
      <c r="B1471" s="314"/>
      <c r="C1471" s="314"/>
      <c r="D1471" s="314"/>
      <c r="E1471" s="313"/>
      <c r="F1471" s="314"/>
    </row>
    <row r="1472" spans="1:6">
      <c r="A1472" s="314"/>
      <c r="B1472" s="314"/>
      <c r="C1472" s="314"/>
      <c r="D1472" s="314"/>
      <c r="E1472" s="313"/>
      <c r="F1472" s="314"/>
    </row>
    <row r="1473" spans="1:6">
      <c r="A1473" s="314"/>
      <c r="B1473" s="314"/>
      <c r="C1473" s="314"/>
      <c r="D1473" s="314"/>
      <c r="E1473" s="313"/>
      <c r="F1473" s="314"/>
    </row>
    <row r="1474" spans="1:6">
      <c r="A1474" s="314"/>
      <c r="B1474" s="314"/>
      <c r="C1474" s="314"/>
      <c r="D1474" s="314"/>
      <c r="E1474" s="313"/>
      <c r="F1474" s="314"/>
    </row>
    <row r="1475" spans="1:6">
      <c r="A1475" s="314"/>
      <c r="B1475" s="314"/>
      <c r="C1475" s="314"/>
      <c r="D1475" s="314"/>
      <c r="E1475" s="313"/>
      <c r="F1475" s="314"/>
    </row>
    <row r="1476" spans="1:6">
      <c r="A1476" s="314"/>
      <c r="B1476" s="314"/>
      <c r="C1476" s="314"/>
      <c r="D1476" s="314"/>
      <c r="E1476" s="313"/>
      <c r="F1476" s="314"/>
    </row>
    <row r="1477" spans="1:6">
      <c r="A1477" s="314"/>
      <c r="B1477" s="314"/>
      <c r="C1477" s="314"/>
      <c r="D1477" s="314"/>
      <c r="E1477" s="313"/>
      <c r="F1477" s="314"/>
    </row>
    <row r="1478" spans="1:6">
      <c r="A1478" s="314"/>
      <c r="B1478" s="314"/>
      <c r="C1478" s="314"/>
      <c r="D1478" s="314"/>
      <c r="E1478" s="313"/>
      <c r="F1478" s="314"/>
    </row>
    <row r="1479" spans="1:6">
      <c r="A1479" s="314"/>
      <c r="B1479" s="314"/>
      <c r="C1479" s="314"/>
      <c r="D1479" s="314"/>
      <c r="E1479" s="313"/>
      <c r="F1479" s="314"/>
    </row>
    <row r="1480" spans="1:6">
      <c r="A1480" s="314"/>
      <c r="B1480" s="314"/>
      <c r="C1480" s="314"/>
      <c r="D1480" s="314"/>
      <c r="E1480" s="313"/>
      <c r="F1480" s="314"/>
    </row>
    <row r="1481" spans="1:6">
      <c r="A1481" s="314"/>
      <c r="B1481" s="314"/>
      <c r="C1481" s="314"/>
      <c r="D1481" s="314"/>
      <c r="E1481" s="313"/>
      <c r="F1481" s="314"/>
    </row>
    <row r="1482" spans="1:6">
      <c r="A1482" s="314"/>
      <c r="B1482" s="314"/>
      <c r="C1482" s="314"/>
      <c r="D1482" s="314"/>
      <c r="E1482" s="313"/>
      <c r="F1482" s="314"/>
    </row>
    <row r="1483" spans="1:6">
      <c r="A1483" s="314"/>
      <c r="B1483" s="314"/>
      <c r="C1483" s="314"/>
      <c r="D1483" s="314"/>
      <c r="E1483" s="313"/>
      <c r="F1483" s="314"/>
    </row>
    <row r="1484" spans="1:6">
      <c r="A1484" s="314"/>
      <c r="B1484" s="314"/>
      <c r="C1484" s="314"/>
      <c r="D1484" s="314"/>
      <c r="E1484" s="313"/>
      <c r="F1484" s="314"/>
    </row>
    <row r="1485" spans="1:6">
      <c r="A1485" s="314"/>
      <c r="B1485" s="314"/>
      <c r="C1485" s="314"/>
      <c r="D1485" s="314"/>
      <c r="E1485" s="313"/>
      <c r="F1485" s="314"/>
    </row>
    <row r="1486" spans="1:6">
      <c r="A1486" s="314"/>
      <c r="B1486" s="314"/>
      <c r="C1486" s="314"/>
      <c r="D1486" s="314"/>
      <c r="E1486" s="313"/>
      <c r="F1486" s="314"/>
    </row>
    <row r="1487" spans="1:6">
      <c r="A1487" s="314"/>
      <c r="B1487" s="314"/>
      <c r="C1487" s="314"/>
      <c r="D1487" s="314"/>
      <c r="E1487" s="313"/>
      <c r="F1487" s="314"/>
    </row>
    <row r="1488" spans="1:6">
      <c r="A1488" s="314"/>
      <c r="B1488" s="314"/>
      <c r="C1488" s="314"/>
      <c r="D1488" s="314"/>
      <c r="E1488" s="313"/>
      <c r="F1488" s="314"/>
    </row>
    <row r="1489" spans="1:6">
      <c r="A1489" s="314"/>
      <c r="B1489" s="314"/>
      <c r="C1489" s="314"/>
      <c r="D1489" s="314"/>
      <c r="E1489" s="313"/>
      <c r="F1489" s="314"/>
    </row>
    <row r="1490" spans="1:6">
      <c r="A1490" s="314"/>
      <c r="B1490" s="314"/>
      <c r="C1490" s="314"/>
      <c r="D1490" s="314"/>
      <c r="E1490" s="313"/>
      <c r="F1490" s="314"/>
    </row>
    <row r="1491" spans="1:6">
      <c r="A1491" s="314"/>
      <c r="B1491" s="314"/>
      <c r="C1491" s="314"/>
      <c r="D1491" s="314"/>
      <c r="E1491" s="313"/>
      <c r="F1491" s="314"/>
    </row>
    <row r="1492" spans="1:6">
      <c r="A1492" s="314"/>
      <c r="B1492" s="314"/>
      <c r="C1492" s="314"/>
      <c r="D1492" s="314"/>
      <c r="E1492" s="313"/>
      <c r="F1492" s="314"/>
    </row>
    <row r="1493" spans="1:6">
      <c r="A1493" s="314"/>
      <c r="B1493" s="314"/>
      <c r="C1493" s="314"/>
      <c r="D1493" s="314"/>
      <c r="E1493" s="313"/>
      <c r="F1493" s="314"/>
    </row>
    <row r="1494" spans="1:6">
      <c r="A1494" s="314"/>
      <c r="B1494" s="314"/>
      <c r="C1494" s="314"/>
      <c r="D1494" s="314"/>
      <c r="E1494" s="313"/>
      <c r="F1494" s="314"/>
    </row>
    <row r="1495" spans="1:6">
      <c r="A1495" s="314"/>
      <c r="B1495" s="314"/>
      <c r="C1495" s="314"/>
      <c r="D1495" s="314"/>
      <c r="E1495" s="313"/>
      <c r="F1495" s="314"/>
    </row>
    <row r="1496" spans="1:6">
      <c r="A1496" s="314"/>
      <c r="B1496" s="314"/>
      <c r="C1496" s="314"/>
      <c r="D1496" s="314"/>
      <c r="E1496" s="313"/>
      <c r="F1496" s="314"/>
    </row>
    <row r="1497" spans="1:6">
      <c r="A1497" s="314"/>
      <c r="B1497" s="314"/>
      <c r="C1497" s="314"/>
      <c r="D1497" s="314"/>
      <c r="E1497" s="313"/>
      <c r="F1497" s="314"/>
    </row>
    <row r="1498" spans="1:6">
      <c r="A1498" s="314"/>
      <c r="B1498" s="314"/>
      <c r="C1498" s="314"/>
      <c r="D1498" s="314"/>
      <c r="E1498" s="313"/>
      <c r="F1498" s="314"/>
    </row>
    <row r="1499" spans="1:6">
      <c r="A1499" s="314"/>
      <c r="B1499" s="314"/>
      <c r="C1499" s="314"/>
      <c r="D1499" s="314"/>
      <c r="E1499" s="313"/>
      <c r="F1499" s="314"/>
    </row>
    <row r="1500" spans="1:6">
      <c r="A1500" s="314"/>
      <c r="B1500" s="314"/>
      <c r="C1500" s="314"/>
      <c r="D1500" s="314"/>
      <c r="E1500" s="313"/>
      <c r="F1500" s="314"/>
    </row>
    <row r="1501" spans="1:6">
      <c r="A1501" s="314"/>
      <c r="B1501" s="314"/>
      <c r="C1501" s="314"/>
      <c r="D1501" s="314"/>
      <c r="E1501" s="313"/>
      <c r="F1501" s="314"/>
    </row>
    <row r="1502" spans="1:6">
      <c r="A1502" s="314"/>
      <c r="B1502" s="314"/>
      <c r="C1502" s="314"/>
      <c r="D1502" s="314"/>
      <c r="E1502" s="313"/>
      <c r="F1502" s="314"/>
    </row>
    <row r="1503" spans="1:6">
      <c r="A1503" s="314"/>
      <c r="B1503" s="314"/>
      <c r="C1503" s="314"/>
      <c r="D1503" s="314"/>
      <c r="E1503" s="313"/>
      <c r="F1503" s="314"/>
    </row>
    <row r="1504" spans="1:6">
      <c r="A1504" s="314"/>
      <c r="B1504" s="314"/>
      <c r="C1504" s="314"/>
      <c r="D1504" s="314"/>
      <c r="E1504" s="313"/>
      <c r="F1504" s="314"/>
    </row>
    <row r="1505" spans="1:6">
      <c r="A1505" s="314"/>
      <c r="B1505" s="314"/>
      <c r="C1505" s="314"/>
      <c r="D1505" s="314"/>
      <c r="E1505" s="313"/>
      <c r="F1505" s="314"/>
    </row>
    <row r="1506" spans="1:6">
      <c r="A1506" s="314"/>
      <c r="B1506" s="314"/>
      <c r="C1506" s="314"/>
      <c r="D1506" s="314"/>
      <c r="E1506" s="313"/>
      <c r="F1506" s="314"/>
    </row>
    <row r="1507" spans="1:6">
      <c r="A1507" s="314"/>
      <c r="B1507" s="314"/>
      <c r="C1507" s="314"/>
      <c r="D1507" s="314"/>
      <c r="E1507" s="313"/>
      <c r="F1507" s="314"/>
    </row>
    <row r="1508" spans="1:6">
      <c r="A1508" s="314"/>
      <c r="B1508" s="314"/>
      <c r="C1508" s="314"/>
      <c r="D1508" s="314"/>
      <c r="E1508" s="313"/>
      <c r="F1508" s="314"/>
    </row>
    <row r="1509" spans="1:6">
      <c r="A1509" s="314"/>
      <c r="B1509" s="314"/>
      <c r="C1509" s="314"/>
      <c r="D1509" s="314"/>
      <c r="E1509" s="313"/>
      <c r="F1509" s="314"/>
    </row>
    <row r="1510" spans="1:6">
      <c r="A1510" s="314"/>
      <c r="B1510" s="314"/>
      <c r="C1510" s="314"/>
      <c r="D1510" s="314"/>
      <c r="E1510" s="313"/>
      <c r="F1510" s="314"/>
    </row>
    <row r="1511" spans="1:6">
      <c r="A1511" s="314"/>
      <c r="B1511" s="314"/>
      <c r="C1511" s="314"/>
      <c r="D1511" s="314"/>
      <c r="E1511" s="313"/>
      <c r="F1511" s="314"/>
    </row>
    <row r="1512" spans="1:6">
      <c r="A1512" s="314"/>
      <c r="B1512" s="314"/>
      <c r="C1512" s="314"/>
      <c r="D1512" s="314"/>
      <c r="E1512" s="313"/>
      <c r="F1512" s="314"/>
    </row>
    <row r="1513" spans="1:6">
      <c r="A1513" s="314"/>
      <c r="B1513" s="314"/>
      <c r="C1513" s="314"/>
      <c r="D1513" s="314"/>
      <c r="E1513" s="313"/>
      <c r="F1513" s="314"/>
    </row>
    <row r="1514" spans="1:6">
      <c r="A1514" s="314"/>
      <c r="B1514" s="314"/>
      <c r="C1514" s="314"/>
      <c r="D1514" s="314"/>
      <c r="E1514" s="313"/>
      <c r="F1514" s="314"/>
    </row>
    <row r="1515" spans="1:6">
      <c r="A1515" s="314"/>
      <c r="B1515" s="314"/>
      <c r="C1515" s="314"/>
      <c r="D1515" s="314"/>
      <c r="E1515" s="313"/>
      <c r="F1515" s="314"/>
    </row>
    <row r="1516" spans="1:6">
      <c r="A1516" s="314"/>
      <c r="B1516" s="314"/>
      <c r="C1516" s="314"/>
      <c r="D1516" s="314"/>
      <c r="E1516" s="313"/>
      <c r="F1516" s="314"/>
    </row>
    <row r="1517" spans="1:6">
      <c r="A1517" s="314"/>
      <c r="B1517" s="314"/>
      <c r="C1517" s="314"/>
      <c r="D1517" s="314"/>
      <c r="E1517" s="313"/>
      <c r="F1517" s="314"/>
    </row>
    <row r="1518" spans="1:6">
      <c r="A1518" s="314"/>
      <c r="B1518" s="314"/>
      <c r="C1518" s="314"/>
      <c r="D1518" s="314"/>
      <c r="E1518" s="313"/>
      <c r="F1518" s="314"/>
    </row>
    <row r="1519" spans="1:6">
      <c r="A1519" s="314"/>
      <c r="B1519" s="314"/>
      <c r="C1519" s="314"/>
      <c r="D1519" s="314"/>
      <c r="E1519" s="313"/>
      <c r="F1519" s="314"/>
    </row>
    <row r="1520" spans="1:6">
      <c r="A1520" s="314"/>
      <c r="B1520" s="314"/>
      <c r="C1520" s="314"/>
      <c r="D1520" s="314"/>
      <c r="E1520" s="313"/>
      <c r="F1520" s="314"/>
    </row>
    <row r="1521" spans="1:6">
      <c r="A1521" s="314"/>
      <c r="B1521" s="314"/>
      <c r="C1521" s="314"/>
      <c r="D1521" s="314"/>
      <c r="E1521" s="313"/>
      <c r="F1521" s="314"/>
    </row>
    <row r="1522" spans="1:6">
      <c r="A1522" s="314"/>
      <c r="B1522" s="314"/>
      <c r="C1522" s="314"/>
      <c r="D1522" s="314"/>
      <c r="E1522" s="313"/>
      <c r="F1522" s="314"/>
    </row>
    <row r="1523" spans="1:6">
      <c r="A1523" s="314"/>
      <c r="B1523" s="314"/>
      <c r="C1523" s="314"/>
      <c r="D1523" s="314"/>
      <c r="E1523" s="313"/>
      <c r="F1523" s="314"/>
    </row>
    <row r="1524" spans="1:6">
      <c r="A1524" s="314"/>
      <c r="B1524" s="314"/>
      <c r="C1524" s="314"/>
      <c r="D1524" s="314"/>
      <c r="E1524" s="313"/>
      <c r="F1524" s="314"/>
    </row>
    <row r="1525" spans="1:6">
      <c r="A1525" s="314"/>
      <c r="B1525" s="314"/>
      <c r="C1525" s="314"/>
      <c r="D1525" s="314"/>
      <c r="E1525" s="313"/>
      <c r="F1525" s="314"/>
    </row>
    <row r="1526" spans="1:6">
      <c r="A1526" s="314"/>
      <c r="B1526" s="314"/>
      <c r="C1526" s="314"/>
      <c r="D1526" s="314"/>
      <c r="E1526" s="313"/>
      <c r="F1526" s="314"/>
    </row>
    <row r="1527" spans="1:6">
      <c r="A1527" s="314"/>
      <c r="B1527" s="314"/>
      <c r="C1527" s="314"/>
      <c r="D1527" s="314"/>
      <c r="E1527" s="313"/>
      <c r="F1527" s="314"/>
    </row>
    <row r="1528" spans="1:6">
      <c r="A1528" s="314"/>
      <c r="B1528" s="314"/>
      <c r="C1528" s="314"/>
      <c r="D1528" s="314"/>
      <c r="E1528" s="313"/>
      <c r="F1528" s="314"/>
    </row>
    <row r="1529" spans="1:6">
      <c r="A1529" s="314"/>
      <c r="B1529" s="314"/>
      <c r="C1529" s="314"/>
      <c r="D1529" s="314"/>
      <c r="E1529" s="313"/>
      <c r="F1529" s="314"/>
    </row>
    <row r="1530" spans="1:6">
      <c r="A1530" s="314"/>
      <c r="B1530" s="314"/>
      <c r="C1530" s="314"/>
      <c r="D1530" s="314"/>
      <c r="E1530" s="313"/>
      <c r="F1530" s="314"/>
    </row>
    <row r="1531" spans="1:6">
      <c r="A1531" s="314"/>
      <c r="B1531" s="314"/>
      <c r="C1531" s="314"/>
      <c r="D1531" s="314"/>
      <c r="E1531" s="313"/>
      <c r="F1531" s="314"/>
    </row>
    <row r="1532" spans="1:6">
      <c r="A1532" s="314"/>
      <c r="B1532" s="314"/>
      <c r="C1532" s="314"/>
      <c r="D1532" s="314"/>
      <c r="E1532" s="313"/>
      <c r="F1532" s="314"/>
    </row>
    <row r="1533" spans="1:6">
      <c r="A1533" s="314"/>
      <c r="B1533" s="314"/>
      <c r="C1533" s="314"/>
      <c r="D1533" s="314"/>
      <c r="E1533" s="313"/>
      <c r="F1533" s="314"/>
    </row>
    <row r="1534" spans="1:6">
      <c r="A1534" s="314"/>
      <c r="B1534" s="314"/>
      <c r="C1534" s="314"/>
      <c r="D1534" s="314"/>
      <c r="E1534" s="313"/>
      <c r="F1534" s="314"/>
    </row>
    <row r="1535" spans="1:6">
      <c r="A1535" s="314"/>
      <c r="B1535" s="314"/>
      <c r="C1535" s="314"/>
      <c r="D1535" s="314"/>
      <c r="E1535" s="313"/>
      <c r="F1535" s="314"/>
    </row>
    <row r="1536" spans="1:6">
      <c r="A1536" s="314"/>
      <c r="B1536" s="314"/>
      <c r="C1536" s="314"/>
      <c r="D1536" s="314"/>
      <c r="E1536" s="313"/>
      <c r="F1536" s="314"/>
    </row>
    <row r="1537" spans="1:6">
      <c r="A1537" s="314"/>
      <c r="B1537" s="314"/>
      <c r="C1537" s="314"/>
      <c r="D1537" s="314"/>
      <c r="E1537" s="313"/>
      <c r="F1537" s="314"/>
    </row>
    <row r="1538" spans="1:6">
      <c r="A1538" s="314"/>
      <c r="B1538" s="314"/>
      <c r="C1538" s="314"/>
      <c r="D1538" s="314"/>
      <c r="E1538" s="313"/>
      <c r="F1538" s="314"/>
    </row>
    <row r="1539" spans="1:6">
      <c r="A1539" s="314"/>
      <c r="B1539" s="314"/>
      <c r="C1539" s="314"/>
      <c r="D1539" s="314"/>
      <c r="E1539" s="313"/>
      <c r="F1539" s="314"/>
    </row>
    <row r="1540" spans="1:6">
      <c r="A1540" s="314"/>
      <c r="B1540" s="314"/>
      <c r="C1540" s="314"/>
      <c r="D1540" s="314"/>
      <c r="E1540" s="313"/>
      <c r="F1540" s="314"/>
    </row>
    <row r="1541" spans="1:6">
      <c r="A1541" s="314"/>
      <c r="B1541" s="314"/>
      <c r="C1541" s="314"/>
      <c r="D1541" s="314"/>
      <c r="E1541" s="313"/>
      <c r="F1541" s="314"/>
    </row>
    <row r="1542" spans="1:6">
      <c r="A1542" s="314"/>
      <c r="B1542" s="314"/>
      <c r="C1542" s="314"/>
      <c r="D1542" s="314"/>
      <c r="E1542" s="313"/>
      <c r="F1542" s="314"/>
    </row>
    <row r="1543" spans="1:6">
      <c r="A1543" s="314"/>
      <c r="B1543" s="314"/>
      <c r="C1543" s="314"/>
      <c r="D1543" s="314"/>
      <c r="E1543" s="313"/>
      <c r="F1543" s="314"/>
    </row>
    <row r="1544" spans="1:6">
      <c r="A1544" s="314"/>
      <c r="B1544" s="314"/>
      <c r="C1544" s="314"/>
      <c r="D1544" s="314"/>
      <c r="E1544" s="313"/>
      <c r="F1544" s="314"/>
    </row>
    <row r="1545" spans="1:6">
      <c r="A1545" s="314"/>
      <c r="B1545" s="314"/>
      <c r="C1545" s="314"/>
      <c r="D1545" s="314"/>
      <c r="E1545" s="313"/>
      <c r="F1545" s="314"/>
    </row>
    <row r="1546" spans="1:6">
      <c r="A1546" s="314"/>
      <c r="B1546" s="314"/>
      <c r="C1546" s="314"/>
      <c r="D1546" s="314"/>
      <c r="E1546" s="313"/>
      <c r="F1546" s="314"/>
    </row>
    <row r="1547" spans="1:6">
      <c r="A1547" s="314"/>
      <c r="B1547" s="314"/>
      <c r="C1547" s="314"/>
      <c r="D1547" s="314"/>
      <c r="E1547" s="313"/>
      <c r="F1547" s="314"/>
    </row>
    <row r="1548" spans="1:6">
      <c r="A1548" s="314"/>
      <c r="B1548" s="314"/>
      <c r="C1548" s="314"/>
      <c r="D1548" s="314"/>
      <c r="E1548" s="313"/>
      <c r="F1548" s="314"/>
    </row>
    <row r="1549" spans="1:6">
      <c r="A1549" s="314"/>
      <c r="B1549" s="314"/>
      <c r="C1549" s="314"/>
      <c r="D1549" s="314"/>
      <c r="E1549" s="313"/>
      <c r="F1549" s="314"/>
    </row>
    <row r="1550" spans="1:6">
      <c r="A1550" s="314"/>
      <c r="B1550" s="314"/>
      <c r="C1550" s="314"/>
      <c r="D1550" s="314"/>
      <c r="E1550" s="313"/>
      <c r="F1550" s="314"/>
    </row>
    <row r="1551" spans="1:6">
      <c r="A1551" s="314"/>
      <c r="B1551" s="314"/>
      <c r="C1551" s="314"/>
      <c r="D1551" s="314"/>
      <c r="E1551" s="313"/>
      <c r="F1551" s="314"/>
    </row>
    <row r="1552" spans="1:6">
      <c r="A1552" s="314"/>
      <c r="B1552" s="314"/>
      <c r="C1552" s="314"/>
      <c r="D1552" s="314"/>
      <c r="E1552" s="313"/>
      <c r="F1552" s="314"/>
    </row>
    <row r="1553" spans="1:6">
      <c r="A1553" s="314"/>
      <c r="B1553" s="314"/>
      <c r="C1553" s="314"/>
      <c r="D1553" s="314"/>
      <c r="E1553" s="313"/>
      <c r="F1553" s="314"/>
    </row>
    <row r="1554" spans="1:6">
      <c r="A1554" s="314"/>
      <c r="B1554" s="314"/>
      <c r="C1554" s="314"/>
      <c r="D1554" s="314"/>
      <c r="E1554" s="313"/>
      <c r="F1554" s="314"/>
    </row>
    <row r="1555" spans="1:6">
      <c r="A1555" s="314"/>
      <c r="B1555" s="314"/>
      <c r="C1555" s="314"/>
      <c r="D1555" s="314"/>
      <c r="E1555" s="313"/>
      <c r="F1555" s="314"/>
    </row>
    <row r="1556" spans="1:6">
      <c r="A1556" s="314"/>
      <c r="B1556" s="314"/>
      <c r="C1556" s="314"/>
      <c r="D1556" s="314"/>
      <c r="E1556" s="313"/>
      <c r="F1556" s="314"/>
    </row>
    <row r="1557" spans="1:6">
      <c r="A1557" s="314"/>
      <c r="B1557" s="314"/>
      <c r="C1557" s="314"/>
      <c r="D1557" s="314"/>
      <c r="E1557" s="313"/>
      <c r="F1557" s="314"/>
    </row>
    <row r="1558" spans="1:6">
      <c r="A1558" s="314"/>
      <c r="B1558" s="314"/>
      <c r="C1558" s="314"/>
      <c r="D1558" s="314"/>
      <c r="E1558" s="313"/>
      <c r="F1558" s="314"/>
    </row>
    <row r="1559" spans="1:6">
      <c r="A1559" s="314"/>
      <c r="B1559" s="314"/>
      <c r="C1559" s="314"/>
      <c r="D1559" s="314"/>
      <c r="E1559" s="313"/>
      <c r="F1559" s="314"/>
    </row>
    <row r="1560" spans="1:6">
      <c r="A1560" s="314"/>
      <c r="B1560" s="314"/>
      <c r="C1560" s="314"/>
      <c r="D1560" s="314"/>
      <c r="E1560" s="313"/>
      <c r="F1560" s="314"/>
    </row>
    <row r="1561" spans="1:6">
      <c r="A1561" s="314"/>
      <c r="B1561" s="314"/>
      <c r="C1561" s="314"/>
      <c r="D1561" s="314"/>
      <c r="E1561" s="313"/>
      <c r="F1561" s="314"/>
    </row>
    <row r="1562" spans="1:6">
      <c r="A1562" s="314"/>
      <c r="B1562" s="314"/>
      <c r="C1562" s="314"/>
      <c r="D1562" s="314"/>
      <c r="E1562" s="313"/>
      <c r="F1562" s="314"/>
    </row>
    <row r="1563" spans="1:6">
      <c r="A1563" s="314"/>
      <c r="B1563" s="314"/>
      <c r="C1563" s="314"/>
      <c r="D1563" s="314"/>
      <c r="E1563" s="313"/>
      <c r="F1563" s="314"/>
    </row>
    <row r="1564" spans="1:6">
      <c r="A1564" s="314"/>
      <c r="B1564" s="314"/>
      <c r="C1564" s="314"/>
      <c r="D1564" s="314"/>
      <c r="E1564" s="313"/>
      <c r="F1564" s="314"/>
    </row>
    <row r="1565" spans="1:6">
      <c r="A1565" s="314"/>
      <c r="B1565" s="314"/>
      <c r="C1565" s="314"/>
      <c r="D1565" s="314"/>
      <c r="E1565" s="313"/>
      <c r="F1565" s="314"/>
    </row>
    <row r="1566" spans="1:6">
      <c r="A1566" s="314"/>
      <c r="B1566" s="314"/>
      <c r="C1566" s="314"/>
      <c r="D1566" s="314"/>
      <c r="E1566" s="313"/>
      <c r="F1566" s="314"/>
    </row>
    <row r="1567" spans="1:6">
      <c r="A1567" s="314"/>
      <c r="B1567" s="314"/>
      <c r="C1567" s="314"/>
      <c r="D1567" s="314"/>
      <c r="E1567" s="313"/>
      <c r="F1567" s="314"/>
    </row>
    <row r="1568" spans="1:6">
      <c r="A1568" s="314"/>
      <c r="B1568" s="314"/>
      <c r="C1568" s="314"/>
      <c r="D1568" s="314"/>
      <c r="E1568" s="313"/>
      <c r="F1568" s="314"/>
    </row>
    <row r="1569" spans="1:6">
      <c r="A1569" s="314"/>
      <c r="B1569" s="314"/>
      <c r="C1569" s="314"/>
      <c r="D1569" s="314"/>
      <c r="E1569" s="313"/>
      <c r="F1569" s="314"/>
    </row>
    <row r="1570" spans="1:6">
      <c r="A1570" s="314"/>
      <c r="B1570" s="314"/>
      <c r="C1570" s="314"/>
      <c r="D1570" s="314"/>
      <c r="E1570" s="313"/>
      <c r="F1570" s="314"/>
    </row>
    <row r="1571" spans="1:6">
      <c r="A1571" s="314"/>
      <c r="B1571" s="314"/>
      <c r="C1571" s="314"/>
      <c r="D1571" s="314"/>
      <c r="E1571" s="313"/>
      <c r="F1571" s="314"/>
    </row>
    <row r="1572" spans="1:6">
      <c r="A1572" s="314"/>
      <c r="B1572" s="314"/>
      <c r="C1572" s="314"/>
      <c r="D1572" s="314"/>
      <c r="E1572" s="313"/>
      <c r="F1572" s="314"/>
    </row>
    <row r="1573" spans="1:6">
      <c r="A1573" s="314"/>
      <c r="B1573" s="314"/>
      <c r="C1573" s="314"/>
      <c r="D1573" s="314"/>
      <c r="E1573" s="313"/>
      <c r="F1573" s="314"/>
    </row>
    <row r="1574" spans="1:6">
      <c r="A1574" s="314"/>
      <c r="B1574" s="314"/>
      <c r="C1574" s="314"/>
      <c r="D1574" s="314"/>
      <c r="E1574" s="313"/>
      <c r="F1574" s="314"/>
    </row>
    <row r="1575" spans="1:6">
      <c r="A1575" s="314"/>
      <c r="B1575" s="314"/>
      <c r="C1575" s="314"/>
      <c r="D1575" s="314"/>
      <c r="E1575" s="313"/>
      <c r="F1575" s="314"/>
    </row>
    <row r="1576" spans="1:6">
      <c r="A1576" s="314"/>
      <c r="B1576" s="314"/>
      <c r="C1576" s="314"/>
      <c r="D1576" s="314"/>
      <c r="E1576" s="313"/>
      <c r="F1576" s="314"/>
    </row>
    <row r="1577" spans="1:6">
      <c r="A1577" s="314"/>
      <c r="B1577" s="314"/>
      <c r="C1577" s="314"/>
      <c r="D1577" s="314"/>
      <c r="E1577" s="313"/>
      <c r="F1577" s="314"/>
    </row>
    <row r="1578" spans="1:6">
      <c r="A1578" s="314"/>
      <c r="B1578" s="314"/>
      <c r="C1578" s="314"/>
      <c r="D1578" s="314"/>
      <c r="E1578" s="313"/>
      <c r="F1578" s="314"/>
    </row>
    <row r="1579" spans="1:6">
      <c r="A1579" s="314"/>
      <c r="B1579" s="314"/>
      <c r="C1579" s="314"/>
      <c r="D1579" s="314"/>
      <c r="E1579" s="313"/>
      <c r="F1579" s="314"/>
    </row>
    <row r="1580" spans="1:6">
      <c r="A1580" s="314"/>
      <c r="B1580" s="314"/>
      <c r="C1580" s="314"/>
      <c r="D1580" s="314"/>
      <c r="E1580" s="313"/>
      <c r="F1580" s="314"/>
    </row>
    <row r="1581" spans="1:6">
      <c r="A1581" s="314"/>
      <c r="B1581" s="314"/>
      <c r="C1581" s="314"/>
      <c r="D1581" s="314"/>
      <c r="E1581" s="313"/>
      <c r="F1581" s="314"/>
    </row>
    <row r="1582" spans="1:6">
      <c r="A1582" s="314"/>
      <c r="B1582" s="314"/>
      <c r="C1582" s="314"/>
      <c r="D1582" s="314"/>
      <c r="E1582" s="313"/>
      <c r="F1582" s="314"/>
    </row>
    <row r="1583" spans="1:6">
      <c r="A1583" s="314"/>
      <c r="B1583" s="314"/>
      <c r="C1583" s="314"/>
      <c r="D1583" s="314"/>
      <c r="E1583" s="313"/>
      <c r="F1583" s="314"/>
    </row>
    <row r="1584" spans="1:6">
      <c r="A1584" s="314"/>
      <c r="B1584" s="314"/>
      <c r="C1584" s="314"/>
      <c r="D1584" s="314"/>
      <c r="E1584" s="313"/>
      <c r="F1584" s="314"/>
    </row>
    <row r="1585" spans="1:6">
      <c r="A1585" s="314"/>
      <c r="B1585" s="314"/>
      <c r="C1585" s="314"/>
      <c r="D1585" s="314"/>
      <c r="E1585" s="313"/>
      <c r="F1585" s="314"/>
    </row>
    <row r="1586" spans="1:6">
      <c r="A1586" s="314"/>
      <c r="B1586" s="314"/>
      <c r="C1586" s="314"/>
      <c r="D1586" s="314"/>
      <c r="E1586" s="313"/>
      <c r="F1586" s="314"/>
    </row>
    <row r="1587" spans="1:6">
      <c r="A1587" s="314"/>
      <c r="B1587" s="314"/>
      <c r="C1587" s="314"/>
      <c r="D1587" s="314"/>
      <c r="E1587" s="313"/>
      <c r="F1587" s="314"/>
    </row>
    <row r="1588" spans="1:6">
      <c r="A1588" s="314"/>
      <c r="B1588" s="314"/>
      <c r="C1588" s="314"/>
      <c r="D1588" s="314"/>
      <c r="E1588" s="313"/>
      <c r="F1588" s="314"/>
    </row>
    <row r="1589" spans="1:6">
      <c r="A1589" s="314"/>
      <c r="B1589" s="314"/>
      <c r="C1589" s="314"/>
      <c r="D1589" s="314"/>
      <c r="E1589" s="313"/>
      <c r="F1589" s="314"/>
    </row>
    <row r="1590" spans="1:6">
      <c r="A1590" s="314"/>
      <c r="B1590" s="314"/>
      <c r="C1590" s="314"/>
      <c r="D1590" s="314"/>
      <c r="E1590" s="313"/>
      <c r="F1590" s="314"/>
    </row>
    <row r="1591" spans="1:6">
      <c r="A1591" s="314"/>
      <c r="B1591" s="314"/>
      <c r="C1591" s="314"/>
      <c r="D1591" s="314"/>
      <c r="E1591" s="313"/>
      <c r="F1591" s="314"/>
    </row>
    <row r="1592" spans="1:6">
      <c r="A1592" s="314"/>
      <c r="B1592" s="314"/>
      <c r="C1592" s="314"/>
      <c r="D1592" s="314"/>
      <c r="E1592" s="313"/>
      <c r="F1592" s="314"/>
    </row>
    <row r="1593" spans="1:6">
      <c r="A1593" s="314"/>
      <c r="B1593" s="314"/>
      <c r="C1593" s="314"/>
      <c r="D1593" s="314"/>
      <c r="E1593" s="313"/>
      <c r="F1593" s="314"/>
    </row>
    <row r="1594" spans="1:6">
      <c r="A1594" s="314"/>
      <c r="B1594" s="314"/>
      <c r="C1594" s="314"/>
      <c r="D1594" s="314"/>
      <c r="E1594" s="313"/>
      <c r="F1594" s="314"/>
    </row>
    <row r="1595" spans="1:6">
      <c r="A1595" s="314"/>
      <c r="B1595" s="314"/>
      <c r="C1595" s="314"/>
      <c r="D1595" s="314"/>
      <c r="E1595" s="313"/>
      <c r="F1595" s="314"/>
    </row>
    <row r="1596" spans="1:6">
      <c r="A1596" s="314"/>
      <c r="B1596" s="314"/>
      <c r="C1596" s="314"/>
      <c r="D1596" s="314"/>
      <c r="E1596" s="313"/>
      <c r="F1596" s="314"/>
    </row>
    <row r="1597" spans="1:6">
      <c r="A1597" s="314"/>
      <c r="B1597" s="314"/>
      <c r="C1597" s="314"/>
      <c r="D1597" s="314"/>
      <c r="E1597" s="313"/>
      <c r="F1597" s="314"/>
    </row>
    <row r="1598" spans="1:6">
      <c r="A1598" s="314"/>
      <c r="B1598" s="314"/>
      <c r="C1598" s="314"/>
      <c r="D1598" s="314"/>
      <c r="E1598" s="313"/>
      <c r="F1598" s="314"/>
    </row>
    <row r="1599" spans="1:6">
      <c r="A1599" s="314"/>
      <c r="B1599" s="314"/>
      <c r="C1599" s="314"/>
      <c r="D1599" s="314"/>
      <c r="E1599" s="313"/>
      <c r="F1599" s="314"/>
    </row>
    <row r="1600" spans="1:6">
      <c r="A1600" s="314"/>
      <c r="B1600" s="314"/>
      <c r="C1600" s="314"/>
      <c r="D1600" s="314"/>
      <c r="E1600" s="313"/>
      <c r="F1600" s="314"/>
    </row>
    <row r="1601" spans="1:6">
      <c r="A1601" s="314"/>
      <c r="B1601" s="314"/>
      <c r="C1601" s="314"/>
      <c r="D1601" s="314"/>
      <c r="E1601" s="313"/>
      <c r="F1601" s="314"/>
    </row>
    <row r="1602" spans="1:6">
      <c r="A1602" s="314"/>
      <c r="B1602" s="314"/>
      <c r="C1602" s="314"/>
      <c r="D1602" s="314"/>
      <c r="E1602" s="313"/>
      <c r="F1602" s="314"/>
    </row>
    <row r="1603" spans="1:6">
      <c r="A1603" s="314"/>
      <c r="B1603" s="314"/>
      <c r="C1603" s="314"/>
      <c r="D1603" s="314"/>
      <c r="E1603" s="313"/>
      <c r="F1603" s="314"/>
    </row>
    <row r="1604" spans="1:6">
      <c r="A1604" s="314"/>
      <c r="B1604" s="314"/>
      <c r="C1604" s="314"/>
      <c r="D1604" s="314"/>
      <c r="E1604" s="313"/>
      <c r="F1604" s="314"/>
    </row>
    <row r="1605" spans="1:6">
      <c r="A1605" s="314"/>
      <c r="B1605" s="314"/>
      <c r="C1605" s="314"/>
      <c r="D1605" s="314"/>
      <c r="E1605" s="313"/>
      <c r="F1605" s="314"/>
    </row>
    <row r="1606" spans="1:6">
      <c r="A1606" s="314"/>
      <c r="B1606" s="314"/>
      <c r="C1606" s="314"/>
      <c r="D1606" s="314"/>
      <c r="E1606" s="313"/>
      <c r="F1606" s="314"/>
    </row>
    <row r="1607" spans="1:6">
      <c r="A1607" s="314"/>
      <c r="B1607" s="314"/>
      <c r="C1607" s="314"/>
      <c r="D1607" s="314"/>
      <c r="E1607" s="313"/>
      <c r="F1607" s="314"/>
    </row>
    <row r="1608" spans="1:6">
      <c r="A1608" s="314"/>
      <c r="B1608" s="314"/>
      <c r="C1608" s="314"/>
      <c r="D1608" s="314"/>
      <c r="E1608" s="313"/>
      <c r="F1608" s="314"/>
    </row>
    <row r="1609" spans="1:6">
      <c r="A1609" s="314"/>
      <c r="B1609" s="314"/>
      <c r="C1609" s="314"/>
      <c r="D1609" s="314"/>
      <c r="E1609" s="313"/>
      <c r="F1609" s="314"/>
    </row>
    <row r="1610" spans="1:6">
      <c r="A1610" s="314"/>
      <c r="B1610" s="314"/>
      <c r="C1610" s="314"/>
      <c r="D1610" s="314"/>
      <c r="E1610" s="313"/>
      <c r="F1610" s="314"/>
    </row>
    <row r="1611" spans="1:6">
      <c r="A1611" s="314"/>
      <c r="B1611" s="314"/>
      <c r="C1611" s="314"/>
      <c r="D1611" s="314"/>
      <c r="E1611" s="313"/>
      <c r="F1611" s="314"/>
    </row>
    <row r="1612" spans="1:6">
      <c r="A1612" s="314"/>
      <c r="B1612" s="314"/>
      <c r="C1612" s="314"/>
      <c r="D1612" s="314"/>
      <c r="E1612" s="313"/>
      <c r="F1612" s="314"/>
    </row>
    <row r="1613" spans="1:6">
      <c r="A1613" s="314"/>
      <c r="B1613" s="314"/>
      <c r="C1613" s="314"/>
      <c r="D1613" s="314"/>
      <c r="E1613" s="313"/>
      <c r="F1613" s="314"/>
    </row>
    <row r="1614" spans="1:6">
      <c r="A1614" s="314"/>
      <c r="B1614" s="314"/>
      <c r="C1614" s="314"/>
      <c r="D1614" s="314"/>
      <c r="E1614" s="313"/>
      <c r="F1614" s="314"/>
    </row>
    <row r="1615" spans="1:6">
      <c r="A1615" s="314"/>
      <c r="B1615" s="314"/>
      <c r="C1615" s="314"/>
      <c r="D1615" s="314"/>
      <c r="E1615" s="313"/>
      <c r="F1615" s="314"/>
    </row>
    <row r="1616" spans="1:6">
      <c r="A1616" s="314"/>
      <c r="B1616" s="314"/>
      <c r="C1616" s="314"/>
      <c r="D1616" s="314"/>
      <c r="E1616" s="313"/>
      <c r="F1616" s="314"/>
    </row>
    <row r="1617" spans="1:6">
      <c r="A1617" s="314"/>
      <c r="B1617" s="314"/>
      <c r="C1617" s="314"/>
      <c r="D1617" s="314"/>
      <c r="E1617" s="313"/>
      <c r="F1617" s="314"/>
    </row>
    <row r="1618" spans="1:6">
      <c r="A1618" s="314"/>
      <c r="B1618" s="314"/>
      <c r="C1618" s="314"/>
      <c r="D1618" s="314"/>
      <c r="E1618" s="313"/>
      <c r="F1618" s="314"/>
    </row>
    <row r="1619" spans="1:6">
      <c r="A1619" s="314"/>
      <c r="B1619" s="314"/>
      <c r="C1619" s="314"/>
      <c r="D1619" s="314"/>
      <c r="E1619" s="313"/>
      <c r="F1619" s="314"/>
    </row>
    <row r="1620" spans="1:6">
      <c r="A1620" s="314"/>
      <c r="B1620" s="314"/>
      <c r="C1620" s="314"/>
      <c r="D1620" s="314"/>
      <c r="E1620" s="313"/>
      <c r="F1620" s="314"/>
    </row>
    <row r="1621" spans="1:6">
      <c r="A1621" s="314"/>
      <c r="B1621" s="314"/>
      <c r="C1621" s="314"/>
      <c r="D1621" s="314"/>
      <c r="E1621" s="313"/>
      <c r="F1621" s="314"/>
    </row>
    <row r="1622" spans="1:6">
      <c r="A1622" s="314"/>
      <c r="B1622" s="314"/>
      <c r="C1622" s="314"/>
      <c r="D1622" s="314"/>
      <c r="E1622" s="313"/>
      <c r="F1622" s="314"/>
    </row>
    <row r="1623" spans="1:6">
      <c r="A1623" s="314"/>
      <c r="B1623" s="314"/>
      <c r="C1623" s="314"/>
      <c r="D1623" s="314"/>
      <c r="E1623" s="313"/>
      <c r="F1623" s="314"/>
    </row>
    <row r="1624" spans="1:6">
      <c r="A1624" s="314"/>
      <c r="B1624" s="314"/>
      <c r="C1624" s="314"/>
      <c r="D1624" s="314"/>
      <c r="E1624" s="313"/>
      <c r="F1624" s="314"/>
    </row>
    <row r="1625" spans="1:6">
      <c r="A1625" s="314"/>
      <c r="B1625" s="314"/>
      <c r="C1625" s="314"/>
      <c r="D1625" s="314"/>
      <c r="E1625" s="313"/>
      <c r="F1625" s="314"/>
    </row>
    <row r="1626" spans="1:6">
      <c r="A1626" s="314"/>
      <c r="B1626" s="314"/>
      <c r="C1626" s="314"/>
      <c r="D1626" s="314"/>
      <c r="E1626" s="313"/>
      <c r="F1626" s="314"/>
    </row>
    <row r="1627" spans="1:6">
      <c r="A1627" s="314"/>
      <c r="B1627" s="314"/>
      <c r="C1627" s="314"/>
      <c r="D1627" s="314"/>
      <c r="E1627" s="313"/>
      <c r="F1627" s="314"/>
    </row>
    <row r="1628" spans="1:6">
      <c r="A1628" s="314"/>
      <c r="B1628" s="314"/>
      <c r="C1628" s="314"/>
      <c r="D1628" s="314"/>
      <c r="E1628" s="313"/>
      <c r="F1628" s="314"/>
    </row>
    <row r="1629" spans="1:6">
      <c r="A1629" s="314"/>
      <c r="B1629" s="314"/>
      <c r="C1629" s="314"/>
      <c r="D1629" s="314"/>
      <c r="E1629" s="313"/>
      <c r="F1629" s="314"/>
    </row>
    <row r="1630" spans="1:6">
      <c r="A1630" s="314"/>
      <c r="B1630" s="314"/>
      <c r="C1630" s="314"/>
      <c r="D1630" s="314"/>
      <c r="E1630" s="313"/>
      <c r="F1630" s="314"/>
    </row>
    <row r="1631" spans="1:6">
      <c r="A1631" s="314"/>
      <c r="B1631" s="314"/>
      <c r="C1631" s="314"/>
      <c r="D1631" s="314"/>
      <c r="E1631" s="313"/>
      <c r="F1631" s="314"/>
    </row>
    <row r="1632" spans="1:6">
      <c r="A1632" s="314"/>
      <c r="B1632" s="314"/>
      <c r="C1632" s="314"/>
      <c r="D1632" s="314"/>
      <c r="E1632" s="313"/>
      <c r="F1632" s="314"/>
    </row>
    <row r="1633" spans="1:6">
      <c r="A1633" s="314"/>
      <c r="B1633" s="314"/>
      <c r="C1633" s="314"/>
      <c r="D1633" s="314"/>
      <c r="E1633" s="313"/>
      <c r="F1633" s="314"/>
    </row>
    <row r="1634" spans="1:6">
      <c r="A1634" s="314"/>
      <c r="B1634" s="314"/>
      <c r="C1634" s="314"/>
      <c r="D1634" s="314"/>
      <c r="E1634" s="313"/>
      <c r="F1634" s="314"/>
    </row>
    <row r="1635" spans="1:6">
      <c r="A1635" s="314"/>
      <c r="B1635" s="314"/>
      <c r="C1635" s="314"/>
      <c r="D1635" s="314"/>
      <c r="E1635" s="313"/>
      <c r="F1635" s="314"/>
    </row>
    <row r="1636" spans="1:6">
      <c r="A1636" s="314"/>
      <c r="B1636" s="314"/>
      <c r="C1636" s="314"/>
      <c r="D1636" s="314"/>
      <c r="E1636" s="313"/>
      <c r="F1636" s="314"/>
    </row>
    <row r="1637" spans="1:6">
      <c r="A1637" s="314"/>
      <c r="B1637" s="314"/>
      <c r="C1637" s="314"/>
      <c r="D1637" s="314"/>
      <c r="E1637" s="313"/>
      <c r="F1637" s="314"/>
    </row>
    <row r="1638" spans="1:6">
      <c r="A1638" s="314"/>
      <c r="B1638" s="314"/>
      <c r="C1638" s="314"/>
      <c r="D1638" s="314"/>
      <c r="E1638" s="313"/>
      <c r="F1638" s="314"/>
    </row>
    <row r="1639" spans="1:6">
      <c r="A1639" s="314"/>
      <c r="B1639" s="314"/>
      <c r="C1639" s="314"/>
      <c r="D1639" s="314"/>
      <c r="E1639" s="313"/>
      <c r="F1639" s="314"/>
    </row>
    <row r="1640" spans="1:6">
      <c r="A1640" s="314"/>
      <c r="B1640" s="314"/>
      <c r="C1640" s="314"/>
      <c r="D1640" s="314"/>
      <c r="E1640" s="313"/>
      <c r="F1640" s="314"/>
    </row>
    <row r="1641" spans="1:6">
      <c r="A1641" s="314"/>
      <c r="B1641" s="314"/>
      <c r="C1641" s="314"/>
      <c r="D1641" s="314"/>
      <c r="E1641" s="313"/>
      <c r="F1641" s="314"/>
    </row>
    <row r="1642" spans="1:6">
      <c r="A1642" s="314"/>
      <c r="B1642" s="314"/>
      <c r="C1642" s="314"/>
      <c r="D1642" s="314"/>
      <c r="E1642" s="313"/>
      <c r="F1642" s="314"/>
    </row>
    <row r="1643" spans="1:6">
      <c r="A1643" s="314"/>
      <c r="B1643" s="314"/>
      <c r="C1643" s="314"/>
      <c r="D1643" s="314"/>
      <c r="E1643" s="313"/>
      <c r="F1643" s="314"/>
    </row>
    <row r="1644" spans="1:6">
      <c r="A1644" s="314"/>
      <c r="B1644" s="314"/>
      <c r="C1644" s="314"/>
      <c r="D1644" s="314"/>
      <c r="E1644" s="313"/>
      <c r="F1644" s="314"/>
    </row>
    <row r="1645" spans="1:6">
      <c r="A1645" s="314"/>
      <c r="B1645" s="314"/>
      <c r="C1645" s="314"/>
      <c r="D1645" s="314"/>
      <c r="E1645" s="313"/>
      <c r="F1645" s="314"/>
    </row>
    <row r="1646" spans="1:6">
      <c r="A1646" s="314"/>
      <c r="B1646" s="314"/>
      <c r="C1646" s="314"/>
      <c r="D1646" s="314"/>
      <c r="E1646" s="313"/>
      <c r="F1646" s="314"/>
    </row>
    <row r="1647" spans="1:6">
      <c r="A1647" s="314"/>
      <c r="B1647" s="314"/>
      <c r="C1647" s="314"/>
      <c r="D1647" s="314"/>
      <c r="E1647" s="313"/>
      <c r="F1647" s="314"/>
    </row>
    <row r="1648" spans="1:6">
      <c r="A1648" s="314"/>
      <c r="B1648" s="314"/>
      <c r="C1648" s="314"/>
      <c r="D1648" s="314"/>
      <c r="E1648" s="313"/>
      <c r="F1648" s="314"/>
    </row>
    <row r="1649" spans="1:6">
      <c r="A1649" s="314"/>
      <c r="B1649" s="314"/>
      <c r="C1649" s="314"/>
      <c r="D1649" s="314"/>
      <c r="E1649" s="313"/>
      <c r="F1649" s="314"/>
    </row>
    <row r="1650" spans="1:6">
      <c r="A1650" s="314"/>
      <c r="B1650" s="314"/>
      <c r="C1650" s="314"/>
      <c r="D1650" s="314"/>
      <c r="E1650" s="313"/>
      <c r="F1650" s="314"/>
    </row>
    <row r="1651" spans="1:6">
      <c r="A1651" s="314"/>
      <c r="B1651" s="314"/>
      <c r="C1651" s="314"/>
      <c r="D1651" s="314"/>
      <c r="E1651" s="313"/>
      <c r="F1651" s="314"/>
    </row>
    <row r="1652" spans="1:6">
      <c r="A1652" s="314"/>
      <c r="B1652" s="314"/>
      <c r="C1652" s="314"/>
      <c r="D1652" s="314"/>
      <c r="E1652" s="313"/>
      <c r="F1652" s="314"/>
    </row>
    <row r="1653" spans="1:6">
      <c r="A1653" s="314"/>
      <c r="B1653" s="314"/>
      <c r="C1653" s="314"/>
      <c r="D1653" s="314"/>
      <c r="E1653" s="313"/>
      <c r="F1653" s="314"/>
    </row>
    <row r="1654" spans="1:6">
      <c r="A1654" s="314"/>
      <c r="B1654" s="314"/>
      <c r="C1654" s="314"/>
      <c r="D1654" s="314"/>
      <c r="E1654" s="313"/>
      <c r="F1654" s="314"/>
    </row>
    <row r="1655" spans="1:6">
      <c r="A1655" s="314"/>
      <c r="B1655" s="314"/>
      <c r="C1655" s="314"/>
      <c r="D1655" s="314"/>
      <c r="E1655" s="313"/>
      <c r="F1655" s="314"/>
    </row>
    <row r="1656" spans="1:6">
      <c r="A1656" s="314"/>
      <c r="B1656" s="314"/>
      <c r="C1656" s="314"/>
      <c r="D1656" s="314"/>
      <c r="E1656" s="313"/>
      <c r="F1656" s="314"/>
    </row>
    <row r="1657" spans="1:6">
      <c r="A1657" s="314"/>
      <c r="B1657" s="314"/>
      <c r="C1657" s="314"/>
      <c r="D1657" s="314"/>
      <c r="E1657" s="313"/>
      <c r="F1657" s="314"/>
    </row>
    <row r="1658" spans="1:6">
      <c r="A1658" s="314"/>
      <c r="B1658" s="314"/>
      <c r="C1658" s="314"/>
      <c r="D1658" s="314"/>
      <c r="E1658" s="313"/>
      <c r="F1658" s="314"/>
    </row>
    <row r="1659" spans="1:6">
      <c r="A1659" s="314"/>
      <c r="B1659" s="314"/>
      <c r="C1659" s="314"/>
      <c r="D1659" s="314"/>
      <c r="E1659" s="313"/>
      <c r="F1659" s="314"/>
    </row>
    <row r="1660" spans="1:6">
      <c r="A1660" s="314"/>
      <c r="B1660" s="314"/>
      <c r="C1660" s="314"/>
      <c r="D1660" s="314"/>
      <c r="E1660" s="313"/>
      <c r="F1660" s="314"/>
    </row>
    <row r="1661" spans="1:6">
      <c r="A1661" s="314"/>
      <c r="B1661" s="314"/>
      <c r="C1661" s="314"/>
      <c r="D1661" s="314"/>
      <c r="E1661" s="313"/>
      <c r="F1661" s="314"/>
    </row>
    <row r="1662" spans="1:6">
      <c r="A1662" s="314"/>
      <c r="B1662" s="314"/>
      <c r="C1662" s="314"/>
      <c r="D1662" s="314"/>
      <c r="E1662" s="313"/>
      <c r="F1662" s="314"/>
    </row>
    <row r="1663" spans="1:6">
      <c r="A1663" s="314"/>
      <c r="B1663" s="314"/>
      <c r="C1663" s="314"/>
      <c r="D1663" s="314"/>
      <c r="E1663" s="313"/>
      <c r="F1663" s="314"/>
    </row>
    <row r="1664" spans="1:6">
      <c r="A1664" s="314"/>
      <c r="B1664" s="314"/>
      <c r="C1664" s="314"/>
      <c r="D1664" s="314"/>
      <c r="E1664" s="313"/>
      <c r="F1664" s="314"/>
    </row>
    <row r="1665" spans="1:6">
      <c r="A1665" s="314"/>
      <c r="B1665" s="314"/>
      <c r="C1665" s="314"/>
      <c r="D1665" s="314"/>
      <c r="E1665" s="313"/>
      <c r="F1665" s="314"/>
    </row>
    <row r="1666" spans="1:6">
      <c r="A1666" s="314"/>
      <c r="B1666" s="314"/>
      <c r="C1666" s="314"/>
      <c r="D1666" s="314"/>
      <c r="E1666" s="313"/>
      <c r="F1666" s="314"/>
    </row>
    <row r="1667" spans="1:6">
      <c r="A1667" s="314"/>
      <c r="B1667" s="314"/>
      <c r="C1667" s="314"/>
      <c r="D1667" s="314"/>
      <c r="E1667" s="313"/>
      <c r="F1667" s="314"/>
    </row>
    <row r="1668" spans="1:6">
      <c r="A1668" s="314"/>
      <c r="B1668" s="314"/>
      <c r="C1668" s="314"/>
      <c r="D1668" s="314"/>
      <c r="E1668" s="313"/>
      <c r="F1668" s="314"/>
    </row>
    <row r="1669" spans="1:6">
      <c r="A1669" s="314"/>
      <c r="B1669" s="314"/>
      <c r="C1669" s="314"/>
      <c r="D1669" s="314"/>
      <c r="E1669" s="313"/>
      <c r="F1669" s="314"/>
    </row>
    <row r="1670" spans="1:6">
      <c r="A1670" s="314"/>
      <c r="B1670" s="314"/>
      <c r="C1670" s="314"/>
      <c r="D1670" s="314"/>
      <c r="E1670" s="313"/>
      <c r="F1670" s="314"/>
    </row>
    <row r="1671" spans="1:6">
      <c r="A1671" s="314"/>
      <c r="B1671" s="314"/>
      <c r="C1671" s="314"/>
      <c r="D1671" s="314"/>
      <c r="E1671" s="313"/>
      <c r="F1671" s="314"/>
    </row>
    <row r="1672" spans="1:6">
      <c r="A1672" s="314"/>
      <c r="B1672" s="314"/>
      <c r="C1672" s="314"/>
      <c r="D1672" s="314"/>
      <c r="E1672" s="313"/>
      <c r="F1672" s="314"/>
    </row>
    <row r="1673" spans="1:6">
      <c r="A1673" s="314"/>
      <c r="B1673" s="314"/>
      <c r="C1673" s="314"/>
      <c r="D1673" s="314"/>
      <c r="E1673" s="313"/>
      <c r="F1673" s="314"/>
    </row>
    <row r="1674" spans="1:6">
      <c r="A1674" s="314"/>
      <c r="B1674" s="314"/>
      <c r="C1674" s="314"/>
      <c r="D1674" s="314"/>
      <c r="E1674" s="313"/>
      <c r="F1674" s="314"/>
    </row>
    <row r="1675" spans="1:6">
      <c r="A1675" s="314"/>
      <c r="B1675" s="314"/>
      <c r="C1675" s="314"/>
      <c r="D1675" s="314"/>
      <c r="E1675" s="313"/>
      <c r="F1675" s="314"/>
    </row>
    <row r="1676" spans="1:6">
      <c r="A1676" s="314"/>
      <c r="B1676" s="314"/>
      <c r="C1676" s="314"/>
      <c r="D1676" s="314"/>
      <c r="E1676" s="313"/>
      <c r="F1676" s="314"/>
    </row>
    <row r="1677" spans="1:6">
      <c r="A1677" s="314"/>
      <c r="B1677" s="314"/>
      <c r="C1677" s="314"/>
      <c r="D1677" s="314"/>
      <c r="E1677" s="313"/>
      <c r="F1677" s="314"/>
    </row>
    <row r="1678" spans="1:6">
      <c r="A1678" s="314"/>
      <c r="B1678" s="314"/>
      <c r="C1678" s="314"/>
      <c r="D1678" s="314"/>
      <c r="E1678" s="313"/>
      <c r="F1678" s="314"/>
    </row>
    <row r="1679" spans="1:6">
      <c r="A1679" s="314"/>
      <c r="B1679" s="314"/>
      <c r="C1679" s="314"/>
      <c r="D1679" s="314"/>
      <c r="E1679" s="313"/>
      <c r="F1679" s="314"/>
    </row>
    <row r="1680" spans="1:6">
      <c r="A1680" s="314"/>
      <c r="B1680" s="314"/>
      <c r="C1680" s="314"/>
      <c r="D1680" s="314"/>
      <c r="E1680" s="313"/>
      <c r="F1680" s="314"/>
    </row>
    <row r="1681" spans="1:6">
      <c r="A1681" s="314"/>
      <c r="B1681" s="314"/>
      <c r="C1681" s="314"/>
      <c r="D1681" s="314"/>
      <c r="E1681" s="313"/>
      <c r="F1681" s="314"/>
    </row>
    <row r="1682" spans="1:6">
      <c r="A1682" s="314"/>
      <c r="B1682" s="314"/>
      <c r="C1682" s="314"/>
      <c r="D1682" s="314"/>
      <c r="E1682" s="313"/>
      <c r="F1682" s="314"/>
    </row>
    <row r="1683" spans="1:6">
      <c r="A1683" s="314"/>
      <c r="B1683" s="314"/>
      <c r="C1683" s="314"/>
      <c r="D1683" s="314"/>
      <c r="E1683" s="313"/>
      <c r="F1683" s="314"/>
    </row>
    <row r="1684" spans="1:6">
      <c r="A1684" s="314"/>
      <c r="B1684" s="314"/>
      <c r="C1684" s="314"/>
      <c r="D1684" s="314"/>
      <c r="E1684" s="313"/>
      <c r="F1684" s="314"/>
    </row>
    <row r="1685" spans="1:6">
      <c r="A1685" s="314"/>
      <c r="B1685" s="314"/>
      <c r="C1685" s="314"/>
      <c r="D1685" s="314"/>
      <c r="E1685" s="313"/>
      <c r="F1685" s="314"/>
    </row>
    <row r="1686" spans="1:6">
      <c r="A1686" s="314"/>
      <c r="B1686" s="314"/>
      <c r="C1686" s="314"/>
      <c r="D1686" s="314"/>
      <c r="E1686" s="313"/>
      <c r="F1686" s="314"/>
    </row>
    <row r="1687" spans="1:6">
      <c r="A1687" s="314"/>
      <c r="B1687" s="314"/>
      <c r="C1687" s="314"/>
      <c r="D1687" s="314"/>
      <c r="E1687" s="313"/>
      <c r="F1687" s="314"/>
    </row>
    <row r="1688" spans="1:6">
      <c r="A1688" s="314"/>
      <c r="B1688" s="314"/>
      <c r="C1688" s="314"/>
      <c r="D1688" s="314"/>
      <c r="E1688" s="313"/>
      <c r="F1688" s="314"/>
    </row>
    <row r="1689" spans="1:6">
      <c r="A1689" s="314"/>
      <c r="B1689" s="314"/>
      <c r="C1689" s="314"/>
      <c r="D1689" s="314"/>
      <c r="E1689" s="313"/>
      <c r="F1689" s="314"/>
    </row>
    <row r="1690" spans="1:6">
      <c r="A1690" s="314"/>
      <c r="B1690" s="314"/>
      <c r="C1690" s="314"/>
      <c r="D1690" s="314"/>
      <c r="E1690" s="313"/>
      <c r="F1690" s="314"/>
    </row>
    <row r="1691" spans="1:6">
      <c r="A1691" s="314"/>
      <c r="B1691" s="314"/>
      <c r="C1691" s="314"/>
      <c r="D1691" s="314"/>
      <c r="E1691" s="313"/>
      <c r="F1691" s="314"/>
    </row>
    <row r="1692" spans="1:6">
      <c r="A1692" s="314"/>
      <c r="B1692" s="314"/>
      <c r="C1692" s="314"/>
      <c r="D1692" s="314"/>
      <c r="E1692" s="313"/>
      <c r="F1692" s="314"/>
    </row>
    <row r="1693" spans="1:6">
      <c r="A1693" s="314"/>
      <c r="B1693" s="314"/>
      <c r="C1693" s="314"/>
      <c r="D1693" s="314"/>
      <c r="E1693" s="313"/>
      <c r="F1693" s="314"/>
    </row>
    <row r="1694" spans="1:6">
      <c r="A1694" s="314"/>
      <c r="B1694" s="314"/>
      <c r="C1694" s="314"/>
      <c r="D1694" s="314"/>
      <c r="E1694" s="313"/>
      <c r="F1694" s="314"/>
    </row>
    <row r="1695" spans="1:6">
      <c r="A1695" s="314"/>
      <c r="B1695" s="314"/>
      <c r="C1695" s="314"/>
      <c r="D1695" s="314"/>
      <c r="E1695" s="313"/>
      <c r="F1695" s="314"/>
    </row>
    <row r="1696" spans="1:6">
      <c r="A1696" s="314"/>
      <c r="B1696" s="314"/>
      <c r="C1696" s="314"/>
      <c r="D1696" s="314"/>
      <c r="E1696" s="313"/>
      <c r="F1696" s="314"/>
    </row>
    <row r="1697" spans="1:6">
      <c r="A1697" s="314"/>
      <c r="B1697" s="314"/>
      <c r="C1697" s="314"/>
      <c r="D1697" s="314"/>
      <c r="E1697" s="313"/>
      <c r="F1697" s="314"/>
    </row>
    <row r="1698" spans="1:6">
      <c r="A1698" s="314"/>
      <c r="B1698" s="314"/>
      <c r="C1698" s="314"/>
      <c r="D1698" s="314"/>
      <c r="E1698" s="313"/>
      <c r="F1698" s="314"/>
    </row>
    <row r="1699" spans="1:6">
      <c r="A1699" s="314"/>
      <c r="B1699" s="314"/>
      <c r="C1699" s="314"/>
      <c r="D1699" s="314"/>
      <c r="E1699" s="313"/>
      <c r="F1699" s="314"/>
    </row>
    <row r="1700" spans="1:6">
      <c r="A1700" s="314"/>
      <c r="B1700" s="314"/>
      <c r="C1700" s="314"/>
      <c r="D1700" s="314"/>
      <c r="E1700" s="313"/>
      <c r="F1700" s="314"/>
    </row>
    <row r="1701" spans="1:6">
      <c r="A1701" s="314"/>
      <c r="B1701" s="314"/>
      <c r="C1701" s="314"/>
      <c r="D1701" s="314"/>
      <c r="E1701" s="313"/>
      <c r="F1701" s="314"/>
    </row>
    <row r="1702" spans="1:6">
      <c r="A1702" s="314"/>
      <c r="B1702" s="314"/>
      <c r="C1702" s="314"/>
      <c r="D1702" s="314"/>
      <c r="E1702" s="313"/>
      <c r="F1702" s="314"/>
    </row>
    <row r="1703" spans="1:6">
      <c r="A1703" s="314"/>
      <c r="B1703" s="314"/>
      <c r="C1703" s="314"/>
      <c r="D1703" s="314"/>
      <c r="E1703" s="313"/>
      <c r="F1703" s="314"/>
    </row>
    <row r="1704" spans="1:6">
      <c r="A1704" s="314"/>
      <c r="B1704" s="314"/>
      <c r="C1704" s="314"/>
      <c r="D1704" s="314"/>
      <c r="E1704" s="313"/>
      <c r="F1704" s="314"/>
    </row>
    <row r="1705" spans="1:6">
      <c r="A1705" s="314"/>
      <c r="B1705" s="314"/>
      <c r="C1705" s="314"/>
      <c r="D1705" s="314"/>
      <c r="E1705" s="313"/>
      <c r="F1705" s="314"/>
    </row>
    <row r="1706" spans="1:6">
      <c r="A1706" s="314"/>
      <c r="B1706" s="314"/>
      <c r="C1706" s="314"/>
      <c r="D1706" s="314"/>
      <c r="E1706" s="313"/>
      <c r="F1706" s="314"/>
    </row>
    <row r="1707" spans="1:6">
      <c r="A1707" s="314"/>
      <c r="B1707" s="314"/>
      <c r="C1707" s="314"/>
      <c r="D1707" s="314"/>
      <c r="E1707" s="313"/>
      <c r="F1707" s="314"/>
    </row>
    <row r="1708" spans="1:6">
      <c r="A1708" s="314"/>
      <c r="B1708" s="314"/>
      <c r="C1708" s="314"/>
      <c r="D1708" s="314"/>
      <c r="E1708" s="313"/>
      <c r="F1708" s="314"/>
    </row>
    <row r="1709" spans="1:6">
      <c r="A1709" s="314"/>
      <c r="B1709" s="314"/>
      <c r="C1709" s="314"/>
      <c r="D1709" s="314"/>
      <c r="E1709" s="313"/>
      <c r="F1709" s="314"/>
    </row>
    <row r="1710" spans="1:6">
      <c r="A1710" s="314"/>
      <c r="B1710" s="314"/>
      <c r="C1710" s="314"/>
      <c r="D1710" s="314"/>
      <c r="E1710" s="313"/>
      <c r="F1710" s="314"/>
    </row>
    <row r="1711" spans="1:6">
      <c r="A1711" s="314"/>
      <c r="B1711" s="314"/>
      <c r="C1711" s="314"/>
      <c r="D1711" s="314"/>
      <c r="E1711" s="313"/>
      <c r="F1711" s="314"/>
    </row>
    <row r="1712" spans="1:6">
      <c r="A1712" s="314"/>
      <c r="B1712" s="314"/>
      <c r="C1712" s="314"/>
      <c r="D1712" s="314"/>
      <c r="E1712" s="313"/>
      <c r="F1712" s="314"/>
    </row>
    <row r="1713" spans="1:6">
      <c r="A1713" s="314"/>
      <c r="B1713" s="314"/>
      <c r="C1713" s="314"/>
      <c r="D1713" s="314"/>
      <c r="E1713" s="313"/>
      <c r="F1713" s="314"/>
    </row>
    <row r="1714" spans="1:6">
      <c r="A1714" s="314"/>
      <c r="B1714" s="314"/>
      <c r="C1714" s="314"/>
      <c r="D1714" s="314"/>
      <c r="E1714" s="313"/>
      <c r="F1714" s="314"/>
    </row>
    <row r="1715" spans="1:6">
      <c r="A1715" s="314"/>
      <c r="B1715" s="314"/>
      <c r="C1715" s="314"/>
      <c r="D1715" s="314"/>
      <c r="E1715" s="313"/>
      <c r="F1715" s="314"/>
    </row>
    <row r="1716" spans="1:6">
      <c r="A1716" s="314"/>
      <c r="B1716" s="314"/>
      <c r="C1716" s="314"/>
      <c r="D1716" s="314"/>
      <c r="E1716" s="313"/>
      <c r="F1716" s="314"/>
    </row>
    <row r="1717" spans="1:6">
      <c r="A1717" s="314"/>
      <c r="B1717" s="314"/>
      <c r="C1717" s="314"/>
      <c r="D1717" s="314"/>
      <c r="E1717" s="313"/>
      <c r="F1717" s="314"/>
    </row>
    <row r="1718" spans="1:6">
      <c r="A1718" s="314"/>
      <c r="B1718" s="314"/>
      <c r="C1718" s="314"/>
      <c r="D1718" s="314"/>
      <c r="E1718" s="313"/>
      <c r="F1718" s="314"/>
    </row>
    <row r="1719" spans="1:6">
      <c r="A1719" s="314"/>
      <c r="B1719" s="314"/>
      <c r="C1719" s="314"/>
      <c r="D1719" s="314"/>
      <c r="E1719" s="313"/>
      <c r="F1719" s="314"/>
    </row>
    <row r="1720" spans="1:6">
      <c r="A1720" s="314"/>
      <c r="B1720" s="314"/>
      <c r="C1720" s="314"/>
      <c r="D1720" s="314"/>
      <c r="E1720" s="313"/>
      <c r="F1720" s="314"/>
    </row>
    <row r="1721" spans="1:6">
      <c r="A1721" s="314"/>
      <c r="B1721" s="314"/>
      <c r="C1721" s="314"/>
      <c r="D1721" s="314"/>
      <c r="E1721" s="313"/>
      <c r="F1721" s="314"/>
    </row>
    <row r="1722" spans="1:6">
      <c r="A1722" s="314"/>
      <c r="B1722" s="314"/>
      <c r="C1722" s="314"/>
      <c r="D1722" s="314"/>
      <c r="E1722" s="313"/>
      <c r="F1722" s="314"/>
    </row>
    <row r="1723" spans="1:6">
      <c r="A1723" s="314"/>
      <c r="B1723" s="314"/>
      <c r="C1723" s="314"/>
      <c r="D1723" s="314"/>
      <c r="E1723" s="313"/>
      <c r="F1723" s="314"/>
    </row>
    <row r="1724" spans="1:6">
      <c r="A1724" s="314"/>
      <c r="B1724" s="314"/>
      <c r="C1724" s="314"/>
      <c r="D1724" s="314"/>
      <c r="E1724" s="313"/>
      <c r="F1724" s="314"/>
    </row>
    <row r="1725" spans="1:6">
      <c r="A1725" s="314"/>
      <c r="B1725" s="314"/>
      <c r="C1725" s="314"/>
      <c r="D1725" s="314"/>
      <c r="E1725" s="313"/>
      <c r="F1725" s="314"/>
    </row>
    <row r="1726" spans="1:6">
      <c r="A1726" s="314"/>
      <c r="B1726" s="314"/>
      <c r="C1726" s="314"/>
      <c r="D1726" s="314"/>
      <c r="E1726" s="313"/>
      <c r="F1726" s="314"/>
    </row>
    <row r="1727" spans="1:6">
      <c r="A1727" s="314"/>
      <c r="B1727" s="314"/>
      <c r="C1727" s="314"/>
      <c r="D1727" s="314"/>
      <c r="E1727" s="313"/>
      <c r="F1727" s="314"/>
    </row>
    <row r="1728" spans="1:6">
      <c r="A1728" s="314"/>
      <c r="B1728" s="314"/>
      <c r="C1728" s="314"/>
      <c r="D1728" s="314"/>
      <c r="E1728" s="313"/>
      <c r="F1728" s="314"/>
    </row>
    <row r="1729" spans="1:6">
      <c r="A1729" s="314"/>
      <c r="B1729" s="314"/>
      <c r="C1729" s="314"/>
      <c r="D1729" s="314"/>
      <c r="E1729" s="313"/>
      <c r="F1729" s="314"/>
    </row>
    <row r="1730" spans="1:6">
      <c r="A1730" s="314"/>
      <c r="B1730" s="314"/>
      <c r="C1730" s="314"/>
      <c r="D1730" s="314"/>
      <c r="E1730" s="313"/>
      <c r="F1730" s="314"/>
    </row>
    <row r="1731" spans="1:6">
      <c r="A1731" s="314"/>
      <c r="B1731" s="314"/>
      <c r="C1731" s="314"/>
      <c r="D1731" s="314"/>
      <c r="E1731" s="313"/>
      <c r="F1731" s="314"/>
    </row>
    <row r="1732" spans="1:6">
      <c r="A1732" s="314"/>
      <c r="B1732" s="314"/>
      <c r="C1732" s="314"/>
      <c r="D1732" s="314"/>
      <c r="E1732" s="313"/>
      <c r="F1732" s="314"/>
    </row>
    <row r="1733" spans="1:6">
      <c r="A1733" s="314"/>
      <c r="B1733" s="314"/>
      <c r="C1733" s="314"/>
      <c r="D1733" s="314"/>
      <c r="E1733" s="313"/>
      <c r="F1733" s="314"/>
    </row>
    <row r="1734" spans="1:6">
      <c r="A1734" s="314"/>
      <c r="B1734" s="314"/>
      <c r="C1734" s="314"/>
      <c r="D1734" s="314"/>
      <c r="E1734" s="313"/>
      <c r="F1734" s="314"/>
    </row>
    <row r="1735" spans="1:6">
      <c r="A1735" s="314"/>
      <c r="B1735" s="314"/>
      <c r="C1735" s="314"/>
      <c r="D1735" s="314"/>
      <c r="E1735" s="313"/>
      <c r="F1735" s="314"/>
    </row>
    <row r="1736" spans="1:6">
      <c r="A1736" s="314"/>
      <c r="B1736" s="314"/>
      <c r="C1736" s="314"/>
      <c r="D1736" s="314"/>
      <c r="E1736" s="313"/>
      <c r="F1736" s="314"/>
    </row>
    <row r="1737" spans="1:6">
      <c r="A1737" s="314"/>
      <c r="B1737" s="314"/>
      <c r="C1737" s="314"/>
      <c r="D1737" s="314"/>
      <c r="E1737" s="313"/>
      <c r="F1737" s="314"/>
    </row>
    <row r="1738" spans="1:6">
      <c r="A1738" s="314"/>
      <c r="B1738" s="314"/>
      <c r="C1738" s="314"/>
      <c r="D1738" s="314"/>
      <c r="E1738" s="313"/>
      <c r="F1738" s="314"/>
    </row>
    <row r="1739" spans="1:6">
      <c r="A1739" s="314"/>
      <c r="B1739" s="314"/>
      <c r="C1739" s="314"/>
      <c r="D1739" s="314"/>
      <c r="E1739" s="313"/>
      <c r="F1739" s="314"/>
    </row>
    <row r="1740" spans="1:6">
      <c r="A1740" s="314"/>
      <c r="B1740" s="314"/>
      <c r="C1740" s="314"/>
      <c r="D1740" s="314"/>
      <c r="E1740" s="313"/>
      <c r="F1740" s="314"/>
    </row>
    <row r="1741" spans="1:6">
      <c r="A1741" s="314"/>
      <c r="B1741" s="314"/>
      <c r="C1741" s="314"/>
      <c r="D1741" s="314"/>
      <c r="E1741" s="313"/>
      <c r="F1741" s="314"/>
    </row>
    <row r="1742" spans="1:6">
      <c r="A1742" s="314"/>
      <c r="B1742" s="314"/>
      <c r="C1742" s="314"/>
      <c r="D1742" s="314"/>
      <c r="E1742" s="313"/>
      <c r="F1742" s="314"/>
    </row>
    <row r="1743" spans="1:6">
      <c r="A1743" s="314"/>
      <c r="B1743" s="314"/>
      <c r="C1743" s="314"/>
      <c r="D1743" s="314"/>
      <c r="E1743" s="313"/>
      <c r="F1743" s="314"/>
    </row>
    <row r="1744" spans="1:6">
      <c r="A1744" s="314"/>
      <c r="B1744" s="314"/>
      <c r="C1744" s="314"/>
      <c r="D1744" s="314"/>
      <c r="E1744" s="313"/>
      <c r="F1744" s="314"/>
    </row>
    <row r="1745" spans="1:6">
      <c r="A1745" s="314"/>
      <c r="B1745" s="314"/>
      <c r="C1745" s="314"/>
      <c r="D1745" s="314"/>
      <c r="E1745" s="313"/>
      <c r="F1745" s="314"/>
    </row>
    <row r="1746" spans="1:6">
      <c r="A1746" s="314"/>
      <c r="B1746" s="314"/>
      <c r="C1746" s="314"/>
      <c r="D1746" s="314"/>
      <c r="E1746" s="313"/>
      <c r="F1746" s="314"/>
    </row>
    <row r="1747" spans="1:6">
      <c r="A1747" s="314"/>
      <c r="B1747" s="314"/>
      <c r="C1747" s="314"/>
      <c r="D1747" s="314"/>
      <c r="E1747" s="313"/>
      <c r="F1747" s="314"/>
    </row>
    <row r="1748" spans="1:6">
      <c r="A1748" s="314"/>
      <c r="B1748" s="314"/>
      <c r="C1748" s="314"/>
      <c r="D1748" s="314"/>
      <c r="E1748" s="313"/>
      <c r="F1748" s="314"/>
    </row>
    <row r="1749" spans="1:6">
      <c r="A1749" s="314"/>
      <c r="B1749" s="314"/>
      <c r="C1749" s="314"/>
      <c r="D1749" s="314"/>
      <c r="E1749" s="313"/>
      <c r="F1749" s="314"/>
    </row>
    <row r="1750" spans="1:6">
      <c r="A1750" s="314"/>
      <c r="B1750" s="314"/>
      <c r="C1750" s="314"/>
      <c r="D1750" s="314"/>
      <c r="E1750" s="313"/>
      <c r="F1750" s="314"/>
    </row>
    <row r="1751" spans="1:6">
      <c r="A1751" s="314"/>
      <c r="B1751" s="314"/>
      <c r="C1751" s="314"/>
      <c r="D1751" s="314"/>
      <c r="E1751" s="313"/>
      <c r="F1751" s="314"/>
    </row>
    <row r="1752" spans="1:6">
      <c r="A1752" s="314"/>
      <c r="B1752" s="314"/>
      <c r="C1752" s="314"/>
      <c r="D1752" s="314"/>
      <c r="E1752" s="313"/>
      <c r="F1752" s="314"/>
    </row>
    <row r="1753" spans="1:6">
      <c r="A1753" s="314"/>
      <c r="B1753" s="314"/>
      <c r="C1753" s="314"/>
      <c r="D1753" s="314"/>
      <c r="E1753" s="313"/>
      <c r="F1753" s="314"/>
    </row>
    <row r="1754" spans="1:6">
      <c r="A1754" s="314"/>
      <c r="B1754" s="314"/>
      <c r="C1754" s="314"/>
      <c r="D1754" s="314"/>
      <c r="E1754" s="313"/>
      <c r="F1754" s="314"/>
    </row>
    <row r="1755" spans="1:6">
      <c r="A1755" s="314"/>
      <c r="B1755" s="314"/>
      <c r="C1755" s="314"/>
      <c r="D1755" s="314"/>
      <c r="E1755" s="313"/>
      <c r="F1755" s="314"/>
    </row>
    <row r="1756" spans="1:6">
      <c r="A1756" s="314"/>
      <c r="B1756" s="314"/>
      <c r="C1756" s="314"/>
      <c r="D1756" s="314"/>
      <c r="E1756" s="313"/>
      <c r="F1756" s="314"/>
    </row>
    <row r="1757" spans="1:6">
      <c r="A1757" s="314"/>
      <c r="B1757" s="314"/>
      <c r="C1757" s="314"/>
      <c r="D1757" s="314"/>
      <c r="E1757" s="313"/>
      <c r="F1757" s="314"/>
    </row>
    <row r="1758" spans="1:6">
      <c r="A1758" s="314"/>
      <c r="B1758" s="314"/>
      <c r="C1758" s="314"/>
      <c r="D1758" s="314"/>
      <c r="E1758" s="313"/>
      <c r="F1758" s="314"/>
    </row>
    <row r="1759" spans="1:6">
      <c r="A1759" s="314"/>
      <c r="B1759" s="314"/>
      <c r="C1759" s="314"/>
      <c r="D1759" s="314"/>
      <c r="E1759" s="313"/>
      <c r="F1759" s="314"/>
    </row>
    <row r="1760" spans="1:6">
      <c r="A1760" s="314"/>
      <c r="B1760" s="314"/>
      <c r="C1760" s="314"/>
      <c r="D1760" s="314"/>
      <c r="E1760" s="313"/>
      <c r="F1760" s="314"/>
    </row>
    <row r="1761" spans="1:6">
      <c r="A1761" s="314"/>
      <c r="B1761" s="314"/>
      <c r="C1761" s="314"/>
      <c r="D1761" s="314"/>
      <c r="E1761" s="313"/>
      <c r="F1761" s="314"/>
    </row>
    <row r="1762" spans="1:6">
      <c r="A1762" s="314"/>
      <c r="B1762" s="314"/>
      <c r="C1762" s="314"/>
      <c r="D1762" s="314"/>
      <c r="E1762" s="313"/>
      <c r="F1762" s="314"/>
    </row>
    <row r="1763" spans="1:6">
      <c r="A1763" s="314"/>
      <c r="B1763" s="314"/>
      <c r="C1763" s="314"/>
      <c r="D1763" s="314"/>
      <c r="E1763" s="313"/>
      <c r="F1763" s="314"/>
    </row>
    <row r="1764" spans="1:6">
      <c r="A1764" s="314"/>
      <c r="B1764" s="314"/>
      <c r="C1764" s="314"/>
      <c r="D1764" s="314"/>
      <c r="E1764" s="313"/>
      <c r="F1764" s="314"/>
    </row>
    <row r="1765" spans="1:6">
      <c r="A1765" s="314"/>
      <c r="B1765" s="314"/>
      <c r="C1765" s="314"/>
      <c r="D1765" s="314"/>
      <c r="E1765" s="313"/>
      <c r="F1765" s="314"/>
    </row>
    <row r="1766" spans="1:6">
      <c r="A1766" s="314"/>
      <c r="B1766" s="314"/>
      <c r="C1766" s="314"/>
      <c r="D1766" s="314"/>
      <c r="E1766" s="313"/>
      <c r="F1766" s="314"/>
    </row>
    <row r="1767" spans="1:6">
      <c r="A1767" s="314"/>
      <c r="B1767" s="314"/>
      <c r="C1767" s="314"/>
      <c r="D1767" s="314"/>
      <c r="E1767" s="313"/>
      <c r="F1767" s="314"/>
    </row>
    <row r="1768" spans="1:6">
      <c r="A1768" s="314"/>
      <c r="B1768" s="314"/>
      <c r="C1768" s="314"/>
      <c r="D1768" s="314"/>
      <c r="E1768" s="313"/>
      <c r="F1768" s="314"/>
    </row>
    <row r="1769" spans="1:6">
      <c r="A1769" s="314"/>
      <c r="B1769" s="314"/>
      <c r="C1769" s="314"/>
      <c r="D1769" s="314"/>
      <c r="E1769" s="313"/>
      <c r="F1769" s="314"/>
    </row>
    <row r="1770" spans="1:6">
      <c r="A1770" s="314"/>
      <c r="B1770" s="314"/>
      <c r="C1770" s="314"/>
      <c r="D1770" s="314"/>
      <c r="E1770" s="313"/>
      <c r="F1770" s="314"/>
    </row>
    <row r="1771" spans="1:6">
      <c r="A1771" s="314"/>
      <c r="B1771" s="314"/>
      <c r="C1771" s="314"/>
      <c r="D1771" s="314"/>
      <c r="E1771" s="313"/>
      <c r="F1771" s="314"/>
    </row>
    <row r="1772" spans="1:6">
      <c r="A1772" s="314"/>
      <c r="B1772" s="314"/>
      <c r="C1772" s="314"/>
      <c r="D1772" s="314"/>
      <c r="E1772" s="313"/>
      <c r="F1772" s="314"/>
    </row>
    <row r="1773" spans="1:6">
      <c r="A1773" s="314"/>
      <c r="B1773" s="314"/>
      <c r="C1773" s="314"/>
      <c r="D1773" s="314"/>
      <c r="E1773" s="313"/>
      <c r="F1773" s="314"/>
    </row>
    <row r="1774" spans="1:6">
      <c r="A1774" s="314"/>
      <c r="B1774" s="314"/>
      <c r="C1774" s="314"/>
      <c r="D1774" s="314"/>
      <c r="E1774" s="313"/>
      <c r="F1774" s="314"/>
    </row>
    <row r="1775" spans="1:6">
      <c r="A1775" s="314"/>
      <c r="B1775" s="314"/>
      <c r="C1775" s="314"/>
      <c r="D1775" s="314"/>
      <c r="E1775" s="313"/>
      <c r="F1775" s="314"/>
    </row>
    <row r="1776" spans="1:6">
      <c r="A1776" s="314"/>
      <c r="B1776" s="314"/>
      <c r="C1776" s="314"/>
      <c r="D1776" s="314"/>
      <c r="E1776" s="313"/>
      <c r="F1776" s="314"/>
    </row>
    <row r="1777" spans="1:6">
      <c r="A1777" s="314"/>
      <c r="B1777" s="314"/>
      <c r="C1777" s="314"/>
      <c r="D1777" s="314"/>
      <c r="E1777" s="313"/>
      <c r="F1777" s="314"/>
    </row>
    <row r="1778" spans="1:6">
      <c r="A1778" s="314"/>
      <c r="B1778" s="314"/>
      <c r="C1778" s="314"/>
      <c r="D1778" s="314"/>
      <c r="E1778" s="313"/>
      <c r="F1778" s="314"/>
    </row>
    <row r="1779" spans="1:6">
      <c r="A1779" s="314"/>
      <c r="B1779" s="314"/>
      <c r="C1779" s="314"/>
      <c r="D1779" s="314"/>
      <c r="E1779" s="313"/>
      <c r="F1779" s="314"/>
    </row>
    <row r="1780" spans="1:6">
      <c r="A1780" s="314"/>
      <c r="B1780" s="314"/>
      <c r="C1780" s="314"/>
      <c r="D1780" s="314"/>
      <c r="E1780" s="313"/>
      <c r="F1780" s="314"/>
    </row>
    <row r="1781" spans="1:6">
      <c r="A1781" s="314"/>
      <c r="B1781" s="314"/>
      <c r="C1781" s="314"/>
      <c r="D1781" s="314"/>
      <c r="E1781" s="313"/>
      <c r="F1781" s="314"/>
    </row>
    <row r="1782" spans="1:6">
      <c r="A1782" s="314"/>
      <c r="B1782" s="314"/>
      <c r="C1782" s="314"/>
      <c r="D1782" s="314"/>
      <c r="E1782" s="313"/>
      <c r="F1782" s="314"/>
    </row>
    <row r="1783" spans="1:6">
      <c r="A1783" s="314"/>
      <c r="B1783" s="314"/>
      <c r="C1783" s="314"/>
      <c r="D1783" s="314"/>
      <c r="E1783" s="313"/>
      <c r="F1783" s="314"/>
    </row>
    <row r="1784" spans="1:6">
      <c r="A1784" s="314"/>
      <c r="B1784" s="314"/>
      <c r="C1784" s="314"/>
      <c r="D1784" s="314"/>
      <c r="E1784" s="313"/>
      <c r="F1784" s="314"/>
    </row>
    <row r="1785" spans="1:6">
      <c r="A1785" s="314"/>
      <c r="B1785" s="314"/>
      <c r="C1785" s="314"/>
      <c r="D1785" s="314"/>
      <c r="E1785" s="313"/>
      <c r="F1785" s="314"/>
    </row>
    <row r="1786" spans="1:6">
      <c r="A1786" s="314"/>
      <c r="B1786" s="314"/>
      <c r="C1786" s="314"/>
      <c r="D1786" s="314"/>
      <c r="E1786" s="313"/>
      <c r="F1786" s="314"/>
    </row>
    <row r="1787" spans="1:6">
      <c r="A1787" s="314"/>
      <c r="B1787" s="314"/>
      <c r="C1787" s="314"/>
      <c r="D1787" s="314"/>
      <c r="E1787" s="313"/>
      <c r="F1787" s="314"/>
    </row>
    <row r="1788" spans="1:6">
      <c r="A1788" s="314"/>
      <c r="B1788" s="314"/>
      <c r="C1788" s="314"/>
      <c r="D1788" s="314"/>
      <c r="E1788" s="313"/>
      <c r="F1788" s="314"/>
    </row>
    <row r="1789" spans="1:6">
      <c r="A1789" s="314"/>
      <c r="B1789" s="314"/>
      <c r="C1789" s="314"/>
      <c r="D1789" s="314"/>
      <c r="E1789" s="313"/>
      <c r="F1789" s="314"/>
    </row>
    <row r="1790" spans="1:6">
      <c r="A1790" s="314"/>
      <c r="B1790" s="314"/>
      <c r="C1790" s="314"/>
      <c r="D1790" s="314"/>
      <c r="E1790" s="313"/>
      <c r="F1790" s="314"/>
    </row>
    <row r="1791" spans="1:6">
      <c r="A1791" s="314"/>
      <c r="B1791" s="314"/>
      <c r="C1791" s="314"/>
      <c r="D1791" s="314"/>
      <c r="E1791" s="313"/>
      <c r="F1791" s="314"/>
    </row>
    <row r="1792" spans="1:6">
      <c r="A1792" s="314"/>
      <c r="B1792" s="314"/>
      <c r="C1792" s="314"/>
      <c r="D1792" s="314"/>
      <c r="E1792" s="313"/>
      <c r="F1792" s="314"/>
    </row>
    <row r="1793" spans="1:6">
      <c r="A1793" s="314"/>
      <c r="B1793" s="314"/>
      <c r="C1793" s="314"/>
      <c r="D1793" s="314"/>
      <c r="E1793" s="313"/>
      <c r="F1793" s="314"/>
    </row>
    <row r="1794" spans="1:6">
      <c r="A1794" s="314"/>
      <c r="B1794" s="314"/>
      <c r="C1794" s="314"/>
      <c r="D1794" s="314"/>
      <c r="E1794" s="313"/>
      <c r="F1794" s="314"/>
    </row>
    <row r="1795" spans="1:6">
      <c r="A1795" s="314"/>
      <c r="B1795" s="314"/>
      <c r="C1795" s="314"/>
      <c r="D1795" s="314"/>
      <c r="E1795" s="313"/>
      <c r="F1795" s="314"/>
    </row>
    <row r="1796" spans="1:6">
      <c r="A1796" s="314"/>
      <c r="B1796" s="314"/>
      <c r="C1796" s="314"/>
      <c r="D1796" s="314"/>
      <c r="E1796" s="313"/>
      <c r="F1796" s="314"/>
    </row>
    <row r="1797" spans="1:6">
      <c r="A1797" s="314"/>
      <c r="B1797" s="314"/>
      <c r="C1797" s="314"/>
      <c r="D1797" s="314"/>
      <c r="E1797" s="313"/>
      <c r="F1797" s="314"/>
    </row>
    <row r="1798" spans="1:6">
      <c r="A1798" s="314"/>
      <c r="B1798" s="314"/>
      <c r="C1798" s="314"/>
      <c r="D1798" s="314"/>
      <c r="E1798" s="313"/>
      <c r="F1798" s="314"/>
    </row>
    <row r="1799" spans="1:6">
      <c r="A1799" s="314"/>
      <c r="B1799" s="314"/>
      <c r="C1799" s="314"/>
      <c r="D1799" s="314"/>
      <c r="E1799" s="313"/>
      <c r="F1799" s="314"/>
    </row>
    <row r="1800" spans="1:6">
      <c r="A1800" s="314"/>
      <c r="B1800" s="314"/>
      <c r="C1800" s="314"/>
      <c r="D1800" s="314"/>
      <c r="E1800" s="313"/>
      <c r="F1800" s="314"/>
    </row>
    <row r="1801" spans="1:6">
      <c r="A1801" s="314"/>
      <c r="B1801" s="314"/>
      <c r="C1801" s="314"/>
      <c r="D1801" s="314"/>
      <c r="E1801" s="313"/>
      <c r="F1801" s="314"/>
    </row>
    <row r="1802" spans="1:6">
      <c r="A1802" s="314"/>
      <c r="B1802" s="314"/>
      <c r="C1802" s="314"/>
      <c r="D1802" s="314"/>
      <c r="E1802" s="313"/>
      <c r="F1802" s="314"/>
    </row>
    <row r="1803" spans="1:6">
      <c r="A1803" s="314"/>
      <c r="B1803" s="314"/>
      <c r="C1803" s="314"/>
      <c r="D1803" s="314"/>
      <c r="E1803" s="313"/>
      <c r="F1803" s="314"/>
    </row>
    <row r="1804" spans="1:6">
      <c r="A1804" s="314"/>
      <c r="B1804" s="314"/>
      <c r="C1804" s="314"/>
      <c r="D1804" s="314"/>
      <c r="E1804" s="313"/>
      <c r="F1804" s="314"/>
    </row>
    <row r="1805" spans="1:6">
      <c r="A1805" s="314"/>
      <c r="B1805" s="314"/>
      <c r="C1805" s="314"/>
      <c r="D1805" s="314"/>
      <c r="E1805" s="313"/>
      <c r="F1805" s="314"/>
    </row>
    <row r="1806" spans="1:6">
      <c r="A1806" s="314"/>
      <c r="B1806" s="314"/>
      <c r="C1806" s="314"/>
      <c r="D1806" s="314"/>
      <c r="E1806" s="313"/>
      <c r="F1806" s="314"/>
    </row>
    <row r="1807" spans="1:6">
      <c r="A1807" s="314"/>
      <c r="B1807" s="314"/>
      <c r="C1807" s="314"/>
      <c r="D1807" s="314"/>
      <c r="E1807" s="313"/>
      <c r="F1807" s="314"/>
    </row>
    <row r="1808" spans="1:6">
      <c r="A1808" s="314"/>
      <c r="B1808" s="314"/>
      <c r="C1808" s="314"/>
      <c r="D1808" s="314"/>
      <c r="E1808" s="313"/>
      <c r="F1808" s="314"/>
    </row>
    <row r="1809" spans="1:6">
      <c r="A1809" s="314"/>
      <c r="B1809" s="314"/>
      <c r="C1809" s="314"/>
      <c r="D1809" s="314"/>
      <c r="E1809" s="313"/>
      <c r="F1809" s="314"/>
    </row>
    <row r="1810" spans="1:6">
      <c r="A1810" s="314"/>
      <c r="B1810" s="314"/>
      <c r="C1810" s="314"/>
      <c r="D1810" s="314"/>
      <c r="E1810" s="313"/>
      <c r="F1810" s="314"/>
    </row>
    <row r="1811" spans="1:6">
      <c r="A1811" s="314"/>
      <c r="B1811" s="314"/>
      <c r="C1811" s="314"/>
      <c r="D1811" s="314"/>
      <c r="E1811" s="313"/>
      <c r="F1811" s="314"/>
    </row>
    <row r="1812" spans="1:6">
      <c r="A1812" s="314"/>
      <c r="B1812" s="314"/>
      <c r="C1812" s="314"/>
      <c r="D1812" s="314"/>
      <c r="E1812" s="313"/>
      <c r="F1812" s="314"/>
    </row>
    <row r="1813" spans="1:6">
      <c r="A1813" s="314"/>
      <c r="B1813" s="314"/>
      <c r="C1813" s="314"/>
      <c r="D1813" s="314"/>
      <c r="E1813" s="313"/>
      <c r="F1813" s="314"/>
    </row>
    <row r="1814" spans="1:6">
      <c r="A1814" s="314"/>
      <c r="B1814" s="314"/>
      <c r="C1814" s="314"/>
      <c r="D1814" s="314"/>
      <c r="E1814" s="313"/>
      <c r="F1814" s="314"/>
    </row>
    <row r="1815" spans="1:6">
      <c r="A1815" s="314"/>
      <c r="B1815" s="314"/>
      <c r="C1815" s="314"/>
      <c r="D1815" s="314"/>
      <c r="E1815" s="313"/>
      <c r="F1815" s="314"/>
    </row>
    <row r="1816" spans="1:6">
      <c r="A1816" s="314"/>
      <c r="B1816" s="314"/>
      <c r="C1816" s="314"/>
      <c r="D1816" s="314"/>
      <c r="E1816" s="313"/>
      <c r="F1816" s="314"/>
    </row>
    <row r="1817" spans="1:6">
      <c r="A1817" s="314"/>
      <c r="B1817" s="314"/>
      <c r="C1817" s="314"/>
      <c r="D1817" s="314"/>
      <c r="E1817" s="313"/>
      <c r="F1817" s="314"/>
    </row>
    <row r="1818" spans="1:6">
      <c r="A1818" s="314"/>
      <c r="B1818" s="314"/>
      <c r="C1818" s="314"/>
      <c r="D1818" s="314"/>
      <c r="E1818" s="313"/>
      <c r="F1818" s="314"/>
    </row>
    <row r="1819" spans="1:6">
      <c r="A1819" s="314"/>
      <c r="B1819" s="314"/>
      <c r="C1819" s="314"/>
      <c r="D1819" s="314"/>
      <c r="E1819" s="313"/>
      <c r="F1819" s="314"/>
    </row>
    <row r="1820" spans="1:6">
      <c r="A1820" s="314"/>
      <c r="B1820" s="314"/>
      <c r="C1820" s="314"/>
      <c r="D1820" s="314"/>
      <c r="E1820" s="313"/>
      <c r="F1820" s="314"/>
    </row>
    <row r="1821" spans="1:6">
      <c r="A1821" s="314"/>
      <c r="B1821" s="314"/>
      <c r="C1821" s="314"/>
      <c r="D1821" s="314"/>
      <c r="E1821" s="313"/>
      <c r="F1821" s="314"/>
    </row>
    <row r="1822" spans="1:6">
      <c r="A1822" s="314"/>
      <c r="B1822" s="314"/>
      <c r="C1822" s="314"/>
      <c r="D1822" s="314"/>
      <c r="E1822" s="313"/>
      <c r="F1822" s="314"/>
    </row>
    <row r="1823" spans="1:6">
      <c r="A1823" s="314"/>
      <c r="B1823" s="314"/>
      <c r="C1823" s="314"/>
      <c r="D1823" s="314"/>
      <c r="E1823" s="313"/>
      <c r="F1823" s="314"/>
    </row>
    <row r="1824" spans="1:6">
      <c r="A1824" s="314"/>
      <c r="B1824" s="314"/>
      <c r="C1824" s="314"/>
      <c r="D1824" s="314"/>
      <c r="E1824" s="313"/>
      <c r="F1824" s="314"/>
    </row>
    <row r="1825" spans="1:6">
      <c r="A1825" s="314"/>
      <c r="B1825" s="314"/>
      <c r="C1825" s="314"/>
      <c r="D1825" s="314"/>
      <c r="E1825" s="313"/>
      <c r="F1825" s="314"/>
    </row>
    <row r="1826" spans="1:6">
      <c r="A1826" s="314"/>
      <c r="B1826" s="314"/>
      <c r="C1826" s="314"/>
      <c r="D1826" s="314"/>
      <c r="E1826" s="313"/>
      <c r="F1826" s="314"/>
    </row>
    <row r="1827" spans="1:6">
      <c r="A1827" s="314"/>
      <c r="B1827" s="314"/>
      <c r="C1827" s="314"/>
      <c r="D1827" s="314"/>
      <c r="E1827" s="313"/>
      <c r="F1827" s="314"/>
    </row>
    <row r="1828" spans="1:6">
      <c r="A1828" s="314"/>
      <c r="B1828" s="314"/>
      <c r="C1828" s="314"/>
      <c r="D1828" s="314"/>
      <c r="E1828" s="313"/>
      <c r="F1828" s="314"/>
    </row>
    <row r="1829" spans="1:6">
      <c r="A1829" s="314"/>
      <c r="B1829" s="314"/>
      <c r="C1829" s="314"/>
      <c r="D1829" s="314"/>
      <c r="E1829" s="313"/>
      <c r="F1829" s="314"/>
    </row>
    <row r="1830" spans="1:6">
      <c r="A1830" s="314"/>
      <c r="B1830" s="314"/>
      <c r="C1830" s="314"/>
      <c r="D1830" s="314"/>
      <c r="E1830" s="313"/>
      <c r="F1830" s="314"/>
    </row>
    <row r="1831" spans="1:6">
      <c r="A1831" s="314"/>
      <c r="B1831" s="314"/>
      <c r="C1831" s="314"/>
      <c r="D1831" s="314"/>
      <c r="E1831" s="313"/>
      <c r="F1831" s="314"/>
    </row>
    <row r="1832" spans="1:6">
      <c r="A1832" s="314"/>
      <c r="B1832" s="314"/>
      <c r="C1832" s="314"/>
      <c r="D1832" s="314"/>
      <c r="E1832" s="313"/>
      <c r="F1832" s="314"/>
    </row>
    <row r="1833" spans="1:6">
      <c r="A1833" s="314"/>
      <c r="B1833" s="314"/>
      <c r="C1833" s="314"/>
      <c r="D1833" s="314"/>
      <c r="E1833" s="313"/>
      <c r="F1833" s="314"/>
    </row>
    <row r="1834" spans="1:6">
      <c r="A1834" s="314"/>
      <c r="B1834" s="314"/>
      <c r="C1834" s="314"/>
      <c r="D1834" s="314"/>
      <c r="E1834" s="313"/>
      <c r="F1834" s="314"/>
    </row>
    <row r="1835" spans="1:6">
      <c r="A1835" s="314"/>
      <c r="B1835" s="314"/>
      <c r="C1835" s="314"/>
      <c r="D1835" s="314"/>
      <c r="E1835" s="313"/>
      <c r="F1835" s="314"/>
    </row>
    <row r="1836" spans="1:6">
      <c r="A1836" s="314"/>
      <c r="B1836" s="314"/>
      <c r="C1836" s="314"/>
      <c r="D1836" s="314"/>
      <c r="E1836" s="313"/>
      <c r="F1836" s="314"/>
    </row>
    <row r="1837" spans="1:6">
      <c r="A1837" s="314"/>
      <c r="B1837" s="314"/>
      <c r="C1837" s="314"/>
      <c r="D1837" s="314"/>
      <c r="E1837" s="313"/>
      <c r="F1837" s="314"/>
    </row>
    <row r="1838" spans="1:6">
      <c r="A1838" s="314"/>
      <c r="B1838" s="314"/>
      <c r="C1838" s="314"/>
      <c r="D1838" s="314"/>
      <c r="E1838" s="313"/>
      <c r="F1838" s="314"/>
    </row>
    <row r="1839" spans="1:6">
      <c r="A1839" s="314"/>
      <c r="B1839" s="314"/>
      <c r="C1839" s="314"/>
      <c r="D1839" s="314"/>
      <c r="E1839" s="313"/>
      <c r="F1839" s="314"/>
    </row>
    <row r="1840" spans="1:6">
      <c r="A1840" s="314"/>
      <c r="B1840" s="314"/>
      <c r="C1840" s="314"/>
      <c r="D1840" s="314"/>
      <c r="E1840" s="313"/>
      <c r="F1840" s="314"/>
    </row>
    <row r="1841" spans="1:6">
      <c r="A1841" s="314"/>
      <c r="B1841" s="314"/>
      <c r="C1841" s="314"/>
      <c r="D1841" s="314"/>
      <c r="E1841" s="313"/>
      <c r="F1841" s="314"/>
    </row>
    <row r="1842" spans="1:6">
      <c r="A1842" s="314"/>
      <c r="B1842" s="314"/>
      <c r="C1842" s="314"/>
      <c r="D1842" s="314"/>
      <c r="E1842" s="313"/>
      <c r="F1842" s="314"/>
    </row>
    <row r="1843" spans="1:6">
      <c r="A1843" s="314"/>
      <c r="B1843" s="314"/>
      <c r="C1843" s="314"/>
      <c r="D1843" s="314"/>
      <c r="E1843" s="313"/>
      <c r="F1843" s="314"/>
    </row>
    <row r="1844" spans="1:6">
      <c r="A1844" s="314"/>
      <c r="B1844" s="314"/>
      <c r="C1844" s="314"/>
      <c r="D1844" s="314"/>
      <c r="E1844" s="313"/>
      <c r="F1844" s="314"/>
    </row>
    <row r="1845" spans="1:6">
      <c r="A1845" s="314"/>
      <c r="B1845" s="314"/>
      <c r="C1845" s="314"/>
      <c r="D1845" s="314"/>
      <c r="E1845" s="313"/>
      <c r="F1845" s="314"/>
    </row>
    <row r="1846" spans="1:6">
      <c r="A1846" s="314"/>
      <c r="B1846" s="314"/>
      <c r="C1846" s="314"/>
      <c r="D1846" s="314"/>
      <c r="E1846" s="313"/>
      <c r="F1846" s="314"/>
    </row>
    <row r="1847" spans="1:6">
      <c r="A1847" s="314"/>
      <c r="B1847" s="314"/>
      <c r="C1847" s="314"/>
      <c r="D1847" s="314"/>
      <c r="E1847" s="313"/>
      <c r="F1847" s="314"/>
    </row>
    <row r="1848" spans="1:6">
      <c r="A1848" s="314"/>
      <c r="B1848" s="314"/>
      <c r="C1848" s="314"/>
      <c r="D1848" s="314"/>
      <c r="E1848" s="313"/>
      <c r="F1848" s="314"/>
    </row>
    <row r="1849" spans="1:6">
      <c r="A1849" s="314"/>
      <c r="B1849" s="314"/>
      <c r="C1849" s="314"/>
      <c r="D1849" s="314"/>
      <c r="E1849" s="313"/>
      <c r="F1849" s="314"/>
    </row>
    <row r="1850" spans="1:6">
      <c r="A1850" s="314"/>
      <c r="B1850" s="314"/>
      <c r="C1850" s="314"/>
      <c r="D1850" s="314"/>
      <c r="E1850" s="313"/>
      <c r="F1850" s="314"/>
    </row>
    <row r="1851" spans="1:6">
      <c r="A1851" s="314"/>
      <c r="B1851" s="314"/>
      <c r="C1851" s="314"/>
      <c r="D1851" s="314"/>
      <c r="E1851" s="313"/>
      <c r="F1851" s="314"/>
    </row>
    <row r="1852" spans="1:6">
      <c r="A1852" s="314"/>
      <c r="B1852" s="314"/>
      <c r="C1852" s="314"/>
      <c r="D1852" s="314"/>
      <c r="E1852" s="313"/>
      <c r="F1852" s="314"/>
    </row>
    <row r="1853" spans="1:6">
      <c r="A1853" s="314"/>
      <c r="B1853" s="314"/>
      <c r="C1853" s="314"/>
      <c r="D1853" s="314"/>
      <c r="E1853" s="313"/>
      <c r="F1853" s="314"/>
    </row>
    <row r="1854" spans="1:6">
      <c r="A1854" s="314"/>
      <c r="B1854" s="314"/>
      <c r="C1854" s="314"/>
      <c r="D1854" s="314"/>
      <c r="E1854" s="313"/>
      <c r="F1854" s="314"/>
    </row>
    <row r="1855" spans="1:6">
      <c r="A1855" s="314"/>
      <c r="B1855" s="314"/>
      <c r="C1855" s="314"/>
      <c r="D1855" s="314"/>
      <c r="E1855" s="313"/>
      <c r="F1855" s="314"/>
    </row>
    <row r="1856" spans="1:6">
      <c r="A1856" s="314"/>
      <c r="B1856" s="314"/>
      <c r="C1856" s="314"/>
      <c r="D1856" s="314"/>
      <c r="E1856" s="313"/>
      <c r="F1856" s="314"/>
    </row>
    <row r="1857" spans="1:6">
      <c r="A1857" s="314"/>
      <c r="B1857" s="314"/>
      <c r="C1857" s="314"/>
      <c r="D1857" s="314"/>
      <c r="E1857" s="313"/>
      <c r="F1857" s="314"/>
    </row>
    <row r="1858" spans="1:6">
      <c r="A1858" s="314"/>
      <c r="B1858" s="314"/>
      <c r="C1858" s="314"/>
      <c r="D1858" s="314"/>
      <c r="E1858" s="313"/>
      <c r="F1858" s="314"/>
    </row>
    <row r="1859" spans="1:6">
      <c r="A1859" s="314"/>
      <c r="B1859" s="314"/>
      <c r="C1859" s="314"/>
      <c r="D1859" s="314"/>
      <c r="E1859" s="313"/>
      <c r="F1859" s="314"/>
    </row>
    <row r="1860" spans="1:6">
      <c r="A1860" s="314"/>
      <c r="B1860" s="314"/>
      <c r="C1860" s="314"/>
      <c r="D1860" s="314"/>
      <c r="E1860" s="313"/>
      <c r="F1860" s="314"/>
    </row>
    <row r="1861" spans="1:6">
      <c r="A1861" s="314"/>
      <c r="B1861" s="314"/>
      <c r="C1861" s="314"/>
      <c r="D1861" s="314"/>
      <c r="E1861" s="313"/>
      <c r="F1861" s="314"/>
    </row>
    <row r="1862" spans="1:6">
      <c r="A1862" s="314"/>
      <c r="B1862" s="314"/>
      <c r="C1862" s="314"/>
      <c r="D1862" s="314"/>
      <c r="E1862" s="313"/>
      <c r="F1862" s="314"/>
    </row>
    <row r="1863" spans="1:6">
      <c r="A1863" s="314"/>
      <c r="B1863" s="314"/>
      <c r="C1863" s="314"/>
      <c r="D1863" s="314"/>
      <c r="E1863" s="313"/>
      <c r="F1863" s="314"/>
    </row>
    <row r="1864" spans="1:6">
      <c r="A1864" s="314"/>
      <c r="B1864" s="314"/>
      <c r="C1864" s="314"/>
      <c r="D1864" s="314"/>
      <c r="E1864" s="313"/>
      <c r="F1864" s="314"/>
    </row>
    <row r="1865" spans="1:6">
      <c r="A1865" s="314"/>
      <c r="B1865" s="314"/>
      <c r="C1865" s="314"/>
      <c r="D1865" s="314"/>
      <c r="E1865" s="313"/>
      <c r="F1865" s="314"/>
    </row>
    <row r="1866" spans="1:6">
      <c r="A1866" s="314"/>
      <c r="B1866" s="314"/>
      <c r="C1866" s="314"/>
      <c r="D1866" s="314"/>
      <c r="E1866" s="313"/>
      <c r="F1866" s="314"/>
    </row>
    <row r="1867" spans="1:6">
      <c r="A1867" s="314"/>
      <c r="B1867" s="314"/>
      <c r="C1867" s="314"/>
      <c r="D1867" s="314"/>
      <c r="E1867" s="313"/>
      <c r="F1867" s="314"/>
    </row>
    <row r="1868" spans="1:6">
      <c r="A1868" s="314"/>
      <c r="B1868" s="314"/>
      <c r="C1868" s="314"/>
      <c r="D1868" s="314"/>
      <c r="E1868" s="313"/>
      <c r="F1868" s="314"/>
    </row>
    <row r="1869" spans="1:6">
      <c r="A1869" s="314"/>
      <c r="B1869" s="314"/>
      <c r="C1869" s="314"/>
      <c r="D1869" s="314"/>
      <c r="E1869" s="313"/>
      <c r="F1869" s="314"/>
    </row>
    <row r="1870" spans="1:6">
      <c r="A1870" s="314"/>
      <c r="B1870" s="314"/>
      <c r="C1870" s="314"/>
      <c r="D1870" s="314"/>
      <c r="E1870" s="313"/>
      <c r="F1870" s="314"/>
    </row>
    <row r="1871" spans="1:6">
      <c r="A1871" s="314"/>
      <c r="B1871" s="314"/>
      <c r="C1871" s="314"/>
      <c r="D1871" s="314"/>
      <c r="E1871" s="313"/>
      <c r="F1871" s="314"/>
    </row>
    <row r="1872" spans="1:6">
      <c r="A1872" s="314"/>
      <c r="B1872" s="314"/>
      <c r="C1872" s="314"/>
      <c r="D1872" s="314"/>
      <c r="E1872" s="313"/>
      <c r="F1872" s="314"/>
    </row>
    <row r="1873" spans="1:6">
      <c r="A1873" s="314"/>
      <c r="B1873" s="314"/>
      <c r="C1873" s="314"/>
      <c r="D1873" s="314"/>
      <c r="E1873" s="313"/>
      <c r="F1873" s="314"/>
    </row>
    <row r="1874" spans="1:6">
      <c r="A1874" s="314"/>
      <c r="B1874" s="314"/>
      <c r="C1874" s="314"/>
      <c r="D1874" s="314"/>
      <c r="E1874" s="313"/>
      <c r="F1874" s="314"/>
    </row>
    <row r="1875" spans="1:6">
      <c r="A1875" s="314"/>
      <c r="B1875" s="314"/>
      <c r="C1875" s="314"/>
      <c r="D1875" s="314"/>
      <c r="E1875" s="313"/>
      <c r="F1875" s="314"/>
    </row>
    <row r="1876" spans="1:6">
      <c r="A1876" s="314"/>
      <c r="B1876" s="314"/>
      <c r="C1876" s="314"/>
      <c r="D1876" s="314"/>
      <c r="E1876" s="313"/>
      <c r="F1876" s="314"/>
    </row>
    <row r="1877" spans="1:6">
      <c r="A1877" s="314"/>
      <c r="B1877" s="314"/>
      <c r="C1877" s="314"/>
      <c r="D1877" s="314"/>
      <c r="E1877" s="313"/>
      <c r="F1877" s="314"/>
    </row>
    <row r="1878" spans="1:6">
      <c r="A1878" s="314"/>
      <c r="B1878" s="314"/>
      <c r="C1878" s="314"/>
      <c r="D1878" s="314"/>
      <c r="E1878" s="313"/>
      <c r="F1878" s="314"/>
    </row>
    <row r="1879" spans="1:6">
      <c r="A1879" s="314"/>
      <c r="B1879" s="314"/>
      <c r="C1879" s="314"/>
      <c r="D1879" s="314"/>
      <c r="E1879" s="313"/>
      <c r="F1879" s="314"/>
    </row>
    <row r="1880" spans="1:6">
      <c r="A1880" s="314"/>
      <c r="B1880" s="314"/>
      <c r="C1880" s="314"/>
      <c r="D1880" s="314"/>
      <c r="E1880" s="313"/>
      <c r="F1880" s="314"/>
    </row>
    <row r="1881" spans="1:6">
      <c r="A1881" s="314"/>
      <c r="B1881" s="314"/>
      <c r="C1881" s="314"/>
      <c r="D1881" s="314"/>
      <c r="E1881" s="313"/>
      <c r="F1881" s="314"/>
    </row>
    <row r="1882" spans="1:6">
      <c r="A1882" s="314"/>
      <c r="B1882" s="314"/>
      <c r="C1882" s="314"/>
      <c r="D1882" s="314"/>
      <c r="E1882" s="313"/>
      <c r="F1882" s="314"/>
    </row>
    <row r="1883" spans="1:6">
      <c r="A1883" s="314"/>
      <c r="B1883" s="314"/>
      <c r="C1883" s="314"/>
      <c r="D1883" s="314"/>
      <c r="E1883" s="313"/>
      <c r="F1883" s="314"/>
    </row>
    <row r="1884" spans="1:6">
      <c r="A1884" s="314"/>
      <c r="B1884" s="314"/>
      <c r="C1884" s="314"/>
      <c r="D1884" s="314"/>
      <c r="E1884" s="313"/>
      <c r="F1884" s="314"/>
    </row>
    <row r="1885" spans="1:6">
      <c r="A1885" s="314"/>
      <c r="B1885" s="314"/>
      <c r="C1885" s="314"/>
      <c r="D1885" s="314"/>
      <c r="E1885" s="313"/>
      <c r="F1885" s="314"/>
    </row>
    <row r="1886" spans="1:6">
      <c r="A1886" s="314"/>
      <c r="B1886" s="314"/>
      <c r="C1886" s="314"/>
      <c r="D1886" s="314"/>
      <c r="E1886" s="313"/>
      <c r="F1886" s="314"/>
    </row>
    <row r="1887" spans="1:6">
      <c r="A1887" s="314"/>
      <c r="B1887" s="314"/>
      <c r="C1887" s="314"/>
      <c r="D1887" s="314"/>
      <c r="E1887" s="313"/>
      <c r="F1887" s="314"/>
    </row>
    <row r="1888" spans="1:6">
      <c r="A1888" s="314"/>
      <c r="B1888" s="314"/>
      <c r="C1888" s="314"/>
      <c r="D1888" s="314"/>
      <c r="E1888" s="313"/>
      <c r="F1888" s="314"/>
    </row>
    <row r="1889" spans="1:6">
      <c r="A1889" s="314"/>
      <c r="B1889" s="314"/>
      <c r="C1889" s="314"/>
      <c r="D1889" s="314"/>
      <c r="E1889" s="313"/>
      <c r="F1889" s="314"/>
    </row>
    <row r="1890" spans="1:6">
      <c r="A1890" s="314"/>
      <c r="B1890" s="314"/>
      <c r="C1890" s="314"/>
      <c r="D1890" s="314"/>
      <c r="E1890" s="313"/>
      <c r="F1890" s="314"/>
    </row>
    <row r="1891" spans="1:6">
      <c r="A1891" s="314"/>
      <c r="B1891" s="314"/>
      <c r="C1891" s="314"/>
      <c r="D1891" s="314"/>
      <c r="E1891" s="313"/>
      <c r="F1891" s="314"/>
    </row>
    <row r="1892" spans="1:6">
      <c r="A1892" s="314"/>
      <c r="B1892" s="314"/>
      <c r="C1892" s="314"/>
      <c r="D1892" s="314"/>
      <c r="E1892" s="313"/>
      <c r="F1892" s="314"/>
    </row>
    <row r="1893" spans="1:6">
      <c r="A1893" s="314"/>
      <c r="B1893" s="314"/>
      <c r="C1893" s="314"/>
      <c r="D1893" s="314"/>
      <c r="E1893" s="313"/>
      <c r="F1893" s="314"/>
    </row>
    <row r="1894" spans="1:6">
      <c r="A1894" s="314"/>
      <c r="B1894" s="314"/>
      <c r="C1894" s="314"/>
      <c r="D1894" s="314"/>
      <c r="E1894" s="313"/>
      <c r="F1894" s="314"/>
    </row>
    <row r="1895" spans="1:6">
      <c r="A1895" s="314"/>
      <c r="B1895" s="314"/>
      <c r="C1895" s="314"/>
      <c r="D1895" s="314"/>
      <c r="E1895" s="313"/>
      <c r="F1895" s="314"/>
    </row>
    <row r="1896" spans="1:6">
      <c r="A1896" s="314"/>
      <c r="B1896" s="314"/>
      <c r="C1896" s="314"/>
      <c r="D1896" s="314"/>
      <c r="E1896" s="313"/>
      <c r="F1896" s="314"/>
    </row>
    <row r="1897" spans="1:6">
      <c r="A1897" s="314"/>
      <c r="B1897" s="314"/>
      <c r="C1897" s="314"/>
      <c r="D1897" s="314"/>
      <c r="E1897" s="313"/>
      <c r="F1897" s="314"/>
    </row>
    <row r="1898" spans="1:6">
      <c r="A1898" s="314"/>
      <c r="B1898" s="314"/>
      <c r="C1898" s="314"/>
      <c r="D1898" s="314"/>
      <c r="E1898" s="313"/>
      <c r="F1898" s="314"/>
    </row>
    <row r="1899" spans="1:6">
      <c r="A1899" s="314"/>
      <c r="B1899" s="314"/>
      <c r="C1899" s="314"/>
      <c r="D1899" s="314"/>
      <c r="E1899" s="313"/>
      <c r="F1899" s="314"/>
    </row>
    <row r="1900" spans="1:6">
      <c r="A1900" s="314"/>
      <c r="B1900" s="314"/>
      <c r="C1900" s="314"/>
      <c r="D1900" s="314"/>
      <c r="E1900" s="313"/>
      <c r="F1900" s="314"/>
    </row>
    <row r="1901" spans="1:6">
      <c r="A1901" s="314"/>
      <c r="B1901" s="314"/>
      <c r="C1901" s="314"/>
      <c r="D1901" s="314"/>
      <c r="E1901" s="313"/>
      <c r="F1901" s="314"/>
    </row>
    <row r="1902" spans="1:6">
      <c r="A1902" s="314"/>
      <c r="B1902" s="314"/>
      <c r="C1902" s="314"/>
      <c r="D1902" s="314"/>
      <c r="E1902" s="313"/>
      <c r="F1902" s="314"/>
    </row>
    <row r="1903" spans="1:6">
      <c r="A1903" s="314"/>
      <c r="B1903" s="314"/>
      <c r="C1903" s="314"/>
      <c r="D1903" s="314"/>
      <c r="E1903" s="313"/>
      <c r="F1903" s="314"/>
    </row>
    <row r="1904" spans="1:6">
      <c r="A1904" s="314"/>
      <c r="B1904" s="314"/>
      <c r="C1904" s="314"/>
      <c r="D1904" s="314"/>
      <c r="E1904" s="313"/>
      <c r="F1904" s="314"/>
    </row>
    <row r="1905" spans="1:6">
      <c r="A1905" s="314"/>
      <c r="B1905" s="314"/>
      <c r="C1905" s="314"/>
      <c r="D1905" s="314"/>
      <c r="E1905" s="313"/>
      <c r="F1905" s="314"/>
    </row>
    <row r="1906" spans="1:6">
      <c r="A1906" s="314"/>
      <c r="B1906" s="314"/>
      <c r="C1906" s="314"/>
      <c r="D1906" s="314"/>
      <c r="E1906" s="313"/>
      <c r="F1906" s="314"/>
    </row>
    <row r="1907" spans="1:6">
      <c r="A1907" s="314"/>
      <c r="B1907" s="314"/>
      <c r="C1907" s="314"/>
      <c r="D1907" s="314"/>
      <c r="E1907" s="313"/>
      <c r="F1907" s="314"/>
    </row>
    <row r="1908" spans="1:6">
      <c r="A1908" s="314"/>
      <c r="B1908" s="314"/>
      <c r="C1908" s="314"/>
      <c r="D1908" s="314"/>
      <c r="E1908" s="313"/>
      <c r="F1908" s="314"/>
    </row>
    <row r="1909" spans="1:6">
      <c r="A1909" s="314"/>
      <c r="B1909" s="314"/>
      <c r="C1909" s="314"/>
      <c r="D1909" s="314"/>
      <c r="E1909" s="313"/>
      <c r="F1909" s="314"/>
    </row>
    <row r="1910" spans="1:6">
      <c r="A1910" s="314"/>
      <c r="B1910" s="314"/>
      <c r="C1910" s="314"/>
      <c r="D1910" s="314"/>
      <c r="E1910" s="313"/>
      <c r="F1910" s="314"/>
    </row>
    <row r="1911" spans="1:6">
      <c r="A1911" s="314"/>
      <c r="B1911" s="314"/>
      <c r="C1911" s="314"/>
      <c r="D1911" s="314"/>
      <c r="E1911" s="313"/>
      <c r="F1911" s="314"/>
    </row>
    <row r="1912" spans="1:6">
      <c r="A1912" s="314"/>
      <c r="B1912" s="314"/>
      <c r="C1912" s="314"/>
      <c r="D1912" s="314"/>
      <c r="E1912" s="313"/>
      <c r="F1912" s="314"/>
    </row>
    <row r="1913" spans="1:6">
      <c r="A1913" s="314"/>
      <c r="B1913" s="314"/>
      <c r="C1913" s="314"/>
      <c r="D1913" s="314"/>
      <c r="E1913" s="313"/>
      <c r="F1913" s="314"/>
    </row>
    <row r="1914" spans="1:6">
      <c r="A1914" s="314"/>
      <c r="B1914" s="314"/>
      <c r="C1914" s="314"/>
      <c r="D1914" s="314"/>
      <c r="E1914" s="313"/>
      <c r="F1914" s="314"/>
    </row>
    <row r="1915" spans="1:6">
      <c r="A1915" s="314"/>
      <c r="B1915" s="314"/>
      <c r="C1915" s="314"/>
      <c r="D1915" s="314"/>
      <c r="E1915" s="313"/>
      <c r="F1915" s="314"/>
    </row>
    <row r="1916" spans="1:6">
      <c r="A1916" s="314"/>
      <c r="B1916" s="314"/>
      <c r="C1916" s="314"/>
      <c r="D1916" s="314"/>
      <c r="E1916" s="313"/>
      <c r="F1916" s="314"/>
    </row>
    <row r="1917" spans="1:6">
      <c r="A1917" s="314"/>
      <c r="B1917" s="314"/>
      <c r="C1917" s="314"/>
      <c r="D1917" s="314"/>
      <c r="E1917" s="313"/>
      <c r="F1917" s="314"/>
    </row>
    <row r="1918" spans="1:6">
      <c r="A1918" s="314"/>
      <c r="B1918" s="314"/>
      <c r="C1918" s="314"/>
      <c r="D1918" s="314"/>
      <c r="E1918" s="313"/>
      <c r="F1918" s="314"/>
    </row>
    <row r="1919" spans="1:6">
      <c r="A1919" s="314"/>
      <c r="B1919" s="314"/>
      <c r="C1919" s="314"/>
      <c r="D1919" s="314"/>
      <c r="E1919" s="313"/>
      <c r="F1919" s="314"/>
    </row>
    <row r="1920" spans="1:6">
      <c r="A1920" s="314"/>
      <c r="B1920" s="314"/>
      <c r="C1920" s="314"/>
      <c r="D1920" s="314"/>
      <c r="E1920" s="313"/>
      <c r="F1920" s="314"/>
    </row>
    <row r="1921" spans="1:6">
      <c r="A1921" s="314"/>
      <c r="B1921" s="314"/>
      <c r="C1921" s="314"/>
      <c r="D1921" s="314"/>
      <c r="E1921" s="313"/>
      <c r="F1921" s="314"/>
    </row>
    <row r="1922" spans="1:6">
      <c r="A1922" s="314"/>
      <c r="B1922" s="314"/>
      <c r="C1922" s="314"/>
      <c r="D1922" s="314"/>
      <c r="E1922" s="313"/>
      <c r="F1922" s="314"/>
    </row>
    <row r="1923" spans="1:6">
      <c r="A1923" s="314"/>
      <c r="B1923" s="314"/>
      <c r="C1923" s="314"/>
      <c r="D1923" s="314"/>
      <c r="E1923" s="313"/>
      <c r="F1923" s="314"/>
    </row>
    <row r="1924" spans="1:6">
      <c r="A1924" s="314"/>
      <c r="B1924" s="314"/>
      <c r="C1924" s="314"/>
      <c r="D1924" s="314"/>
      <c r="E1924" s="313"/>
      <c r="F1924" s="314"/>
    </row>
    <row r="1925" spans="1:6">
      <c r="A1925" s="314"/>
      <c r="B1925" s="314"/>
      <c r="C1925" s="314"/>
      <c r="D1925" s="314"/>
      <c r="E1925" s="313"/>
      <c r="F1925" s="314"/>
    </row>
    <row r="1926" spans="1:6">
      <c r="A1926" s="314"/>
      <c r="B1926" s="314"/>
      <c r="C1926" s="314"/>
      <c r="D1926" s="314"/>
      <c r="E1926" s="313"/>
      <c r="F1926" s="314"/>
    </row>
    <row r="1927" spans="1:6">
      <c r="A1927" s="314"/>
      <c r="B1927" s="314"/>
      <c r="C1927" s="314"/>
      <c r="D1927" s="314"/>
      <c r="E1927" s="313"/>
      <c r="F1927" s="314"/>
    </row>
    <row r="1928" spans="1:6">
      <c r="A1928" s="314"/>
      <c r="B1928" s="314"/>
      <c r="C1928" s="314"/>
      <c r="D1928" s="314"/>
      <c r="E1928" s="313"/>
      <c r="F1928" s="314"/>
    </row>
    <row r="1929" spans="1:6">
      <c r="A1929" s="314"/>
      <c r="B1929" s="314"/>
      <c r="C1929" s="314"/>
      <c r="D1929" s="314"/>
      <c r="E1929" s="313"/>
      <c r="F1929" s="314"/>
    </row>
    <row r="1930" spans="1:6">
      <c r="A1930" s="314"/>
      <c r="B1930" s="314"/>
      <c r="C1930" s="314"/>
      <c r="D1930" s="314"/>
      <c r="E1930" s="313"/>
      <c r="F1930" s="314"/>
    </row>
    <row r="1931" spans="1:6">
      <c r="A1931" s="314"/>
      <c r="B1931" s="314"/>
      <c r="C1931" s="314"/>
      <c r="D1931" s="314"/>
      <c r="E1931" s="313"/>
      <c r="F1931" s="314"/>
    </row>
    <row r="1932" spans="1:6">
      <c r="A1932" s="314"/>
      <c r="B1932" s="314"/>
      <c r="C1932" s="314"/>
      <c r="D1932" s="314"/>
      <c r="E1932" s="313"/>
      <c r="F1932" s="314"/>
    </row>
    <row r="1933" spans="1:6">
      <c r="A1933" s="314"/>
      <c r="B1933" s="314"/>
      <c r="C1933" s="314"/>
      <c r="D1933" s="314"/>
      <c r="E1933" s="313"/>
      <c r="F1933" s="314"/>
    </row>
    <row r="1934" spans="1:6">
      <c r="A1934" s="314"/>
      <c r="B1934" s="314"/>
      <c r="C1934" s="314"/>
      <c r="D1934" s="314"/>
      <c r="E1934" s="313"/>
      <c r="F1934" s="314"/>
    </row>
    <row r="1935" spans="1:6">
      <c r="A1935" s="314"/>
      <c r="B1935" s="314"/>
      <c r="C1935" s="314"/>
      <c r="D1935" s="314"/>
      <c r="E1935" s="313"/>
      <c r="F1935" s="314"/>
    </row>
    <row r="1936" spans="1:6">
      <c r="A1936" s="314"/>
      <c r="B1936" s="314"/>
      <c r="C1936" s="314"/>
      <c r="D1936" s="314"/>
      <c r="E1936" s="313"/>
      <c r="F1936" s="314"/>
    </row>
    <row r="1937" spans="1:6">
      <c r="A1937" s="314"/>
      <c r="B1937" s="314"/>
      <c r="C1937" s="314"/>
      <c r="D1937" s="314"/>
      <c r="E1937" s="313"/>
      <c r="F1937" s="314"/>
    </row>
    <row r="1938" spans="1:6">
      <c r="A1938" s="314"/>
      <c r="B1938" s="314"/>
      <c r="C1938" s="314"/>
      <c r="D1938" s="314"/>
      <c r="E1938" s="313"/>
      <c r="F1938" s="314"/>
    </row>
    <row r="1939" spans="1:6">
      <c r="A1939" s="314"/>
      <c r="B1939" s="314"/>
      <c r="C1939" s="314"/>
      <c r="D1939" s="314"/>
      <c r="E1939" s="313"/>
      <c r="F1939" s="314"/>
    </row>
    <row r="1940" spans="1:6">
      <c r="A1940" s="314"/>
      <c r="B1940" s="314"/>
      <c r="C1940" s="314"/>
      <c r="D1940" s="314"/>
      <c r="E1940" s="313"/>
      <c r="F1940" s="314"/>
    </row>
    <row r="1941" spans="1:6">
      <c r="A1941" s="314"/>
      <c r="B1941" s="314"/>
      <c r="C1941" s="314"/>
      <c r="D1941" s="314"/>
      <c r="E1941" s="313"/>
      <c r="F1941" s="314"/>
    </row>
    <row r="1942" spans="1:6">
      <c r="A1942" s="314"/>
      <c r="B1942" s="314"/>
      <c r="C1942" s="314"/>
      <c r="D1942" s="314"/>
      <c r="E1942" s="313"/>
      <c r="F1942" s="314"/>
    </row>
    <row r="1943" spans="1:6">
      <c r="A1943" s="314"/>
      <c r="B1943" s="314"/>
      <c r="C1943" s="314"/>
      <c r="D1943" s="314"/>
      <c r="E1943" s="313"/>
      <c r="F1943" s="314"/>
    </row>
    <row r="1944" spans="1:6">
      <c r="A1944" s="314"/>
      <c r="B1944" s="314"/>
      <c r="C1944" s="314"/>
      <c r="D1944" s="314"/>
      <c r="E1944" s="313"/>
      <c r="F1944" s="314"/>
    </row>
    <row r="1945" spans="1:6">
      <c r="A1945" s="314"/>
      <c r="B1945" s="314"/>
      <c r="C1945" s="314"/>
      <c r="D1945" s="314"/>
      <c r="E1945" s="313"/>
      <c r="F1945" s="314"/>
    </row>
    <row r="1946" spans="1:6">
      <c r="A1946" s="314"/>
      <c r="B1946" s="314"/>
      <c r="C1946" s="314"/>
      <c r="D1946" s="314"/>
      <c r="E1946" s="313"/>
      <c r="F1946" s="314"/>
    </row>
    <row r="1947" spans="1:6">
      <c r="A1947" s="314"/>
      <c r="B1947" s="314"/>
      <c r="C1947" s="314"/>
      <c r="D1947" s="314"/>
      <c r="E1947" s="313"/>
      <c r="F1947" s="314"/>
    </row>
    <row r="1948" spans="1:6">
      <c r="A1948" s="314"/>
      <c r="B1948" s="314"/>
      <c r="C1948" s="314"/>
      <c r="D1948" s="314"/>
      <c r="E1948" s="313"/>
      <c r="F1948" s="314"/>
    </row>
    <row r="1949" spans="1:6">
      <c r="A1949" s="314"/>
      <c r="B1949" s="314"/>
      <c r="C1949" s="314"/>
      <c r="D1949" s="314"/>
      <c r="E1949" s="313"/>
      <c r="F1949" s="314"/>
    </row>
    <row r="1950" spans="1:6">
      <c r="A1950" s="314"/>
      <c r="B1950" s="314"/>
      <c r="C1950" s="314"/>
      <c r="D1950" s="314"/>
      <c r="E1950" s="313"/>
      <c r="F1950" s="314"/>
    </row>
    <row r="1951" spans="1:6">
      <c r="A1951" s="314"/>
      <c r="B1951" s="314"/>
      <c r="C1951" s="314"/>
      <c r="D1951" s="314"/>
      <c r="E1951" s="313"/>
      <c r="F1951" s="314"/>
    </row>
    <row r="1952" spans="1:6">
      <c r="A1952" s="314"/>
      <c r="B1952" s="314"/>
      <c r="C1952" s="314"/>
      <c r="D1952" s="314"/>
      <c r="E1952" s="313"/>
      <c r="F1952" s="314"/>
    </row>
    <row r="1953" spans="1:6">
      <c r="A1953" s="314"/>
      <c r="B1953" s="314"/>
      <c r="C1953" s="314"/>
      <c r="D1953" s="314"/>
      <c r="E1953" s="313"/>
      <c r="F1953" s="314"/>
    </row>
    <row r="1954" spans="1:6">
      <c r="A1954" s="314"/>
      <c r="B1954" s="314"/>
      <c r="C1954" s="314"/>
      <c r="D1954" s="314"/>
      <c r="E1954" s="313"/>
      <c r="F1954" s="314"/>
    </row>
    <row r="1955" spans="1:6">
      <c r="A1955" s="314"/>
      <c r="B1955" s="314"/>
      <c r="C1955" s="314"/>
      <c r="D1955" s="314"/>
      <c r="E1955" s="313"/>
      <c r="F1955" s="314"/>
    </row>
    <row r="1956" spans="1:6">
      <c r="A1956" s="314"/>
      <c r="B1956" s="314"/>
      <c r="C1956" s="314"/>
      <c r="D1956" s="314"/>
      <c r="E1956" s="313"/>
      <c r="F1956" s="314"/>
    </row>
    <row r="1957" spans="1:6">
      <c r="A1957" s="314"/>
      <c r="B1957" s="314"/>
      <c r="C1957" s="314"/>
      <c r="D1957" s="314"/>
      <c r="E1957" s="313"/>
      <c r="F1957" s="314"/>
    </row>
    <row r="1958" spans="1:6">
      <c r="A1958" s="314"/>
      <c r="B1958" s="314"/>
      <c r="C1958" s="314"/>
      <c r="D1958" s="314"/>
      <c r="E1958" s="313"/>
      <c r="F1958" s="314"/>
    </row>
    <row r="1959" spans="1:6">
      <c r="A1959" s="314"/>
      <c r="B1959" s="314"/>
      <c r="C1959" s="314"/>
      <c r="D1959" s="314"/>
      <c r="E1959" s="313"/>
      <c r="F1959" s="314"/>
    </row>
    <row r="1960" spans="1:6">
      <c r="A1960" s="314"/>
      <c r="B1960" s="314"/>
      <c r="C1960" s="314"/>
      <c r="D1960" s="314"/>
      <c r="E1960" s="313"/>
      <c r="F1960" s="314"/>
    </row>
    <row r="1961" spans="1:6">
      <c r="A1961" s="314"/>
      <c r="B1961" s="314"/>
      <c r="C1961" s="314"/>
      <c r="D1961" s="314"/>
      <c r="E1961" s="313"/>
      <c r="F1961" s="314"/>
    </row>
    <row r="1962" spans="1:6">
      <c r="A1962" s="314"/>
      <c r="B1962" s="314"/>
      <c r="C1962" s="314"/>
      <c r="D1962" s="314"/>
      <c r="E1962" s="313"/>
      <c r="F1962" s="314"/>
    </row>
    <row r="1963" spans="1:6">
      <c r="A1963" s="314"/>
      <c r="B1963" s="314"/>
      <c r="C1963" s="314"/>
      <c r="D1963" s="314"/>
      <c r="E1963" s="313"/>
      <c r="F1963" s="314"/>
    </row>
    <row r="1964" spans="1:6">
      <c r="A1964" s="314"/>
      <c r="B1964" s="314"/>
      <c r="C1964" s="314"/>
      <c r="D1964" s="314"/>
      <c r="E1964" s="313"/>
      <c r="F1964" s="314"/>
    </row>
    <row r="1965" spans="1:6">
      <c r="A1965" s="314"/>
      <c r="B1965" s="314"/>
      <c r="C1965" s="314"/>
      <c r="D1965" s="314"/>
      <c r="E1965" s="313"/>
      <c r="F1965" s="314"/>
    </row>
    <row r="1966" spans="1:6">
      <c r="A1966" s="314"/>
      <c r="B1966" s="314"/>
      <c r="C1966" s="314"/>
      <c r="D1966" s="314"/>
      <c r="E1966" s="313"/>
      <c r="F1966" s="314"/>
    </row>
    <row r="1967" spans="1:6">
      <c r="A1967" s="314"/>
      <c r="B1967" s="314"/>
      <c r="C1967" s="314"/>
      <c r="D1967" s="314"/>
      <c r="E1967" s="313"/>
      <c r="F1967" s="314"/>
    </row>
    <row r="1968" spans="1:6">
      <c r="A1968" s="314"/>
      <c r="B1968" s="314"/>
      <c r="C1968" s="314"/>
      <c r="D1968" s="314"/>
      <c r="E1968" s="313"/>
      <c r="F1968" s="314"/>
    </row>
    <row r="1969" spans="1:6">
      <c r="A1969" s="314"/>
      <c r="B1969" s="314"/>
      <c r="C1969" s="314"/>
      <c r="D1969" s="314"/>
      <c r="E1969" s="313"/>
      <c r="F1969" s="314"/>
    </row>
    <row r="1970" spans="1:6">
      <c r="A1970" s="314"/>
      <c r="B1970" s="314"/>
      <c r="C1970" s="314"/>
      <c r="D1970" s="314"/>
      <c r="E1970" s="313"/>
      <c r="F1970" s="314"/>
    </row>
    <row r="1971" spans="1:6">
      <c r="A1971" s="314"/>
      <c r="B1971" s="314"/>
      <c r="C1971" s="314"/>
      <c r="D1971" s="314"/>
      <c r="E1971" s="313"/>
      <c r="F1971" s="314"/>
    </row>
    <row r="1972" spans="1:6">
      <c r="A1972" s="314"/>
      <c r="B1972" s="314"/>
      <c r="C1972" s="314"/>
      <c r="D1972" s="314"/>
      <c r="E1972" s="313"/>
      <c r="F1972" s="314"/>
    </row>
    <row r="1973" spans="1:6">
      <c r="A1973" s="314"/>
      <c r="B1973" s="314"/>
      <c r="C1973" s="314"/>
      <c r="D1973" s="314"/>
      <c r="E1973" s="313"/>
      <c r="F1973" s="314"/>
    </row>
    <row r="1974" spans="1:6">
      <c r="A1974" s="314"/>
      <c r="B1974" s="314"/>
      <c r="C1974" s="314"/>
      <c r="D1974" s="314"/>
      <c r="E1974" s="313"/>
      <c r="F1974" s="314"/>
    </row>
    <row r="1975" spans="1:6">
      <c r="A1975" s="314"/>
      <c r="B1975" s="314"/>
      <c r="C1975" s="314"/>
      <c r="D1975" s="314"/>
      <c r="E1975" s="313"/>
      <c r="F1975" s="314"/>
    </row>
    <row r="1976" spans="1:6">
      <c r="A1976" s="314"/>
      <c r="B1976" s="314"/>
      <c r="C1976" s="314"/>
      <c r="D1976" s="314"/>
      <c r="E1976" s="313"/>
      <c r="F1976" s="314"/>
    </row>
    <row r="1977" spans="1:6">
      <c r="A1977" s="314"/>
      <c r="B1977" s="314"/>
      <c r="C1977" s="314"/>
      <c r="D1977" s="314"/>
      <c r="E1977" s="313"/>
      <c r="F1977" s="314"/>
    </row>
    <row r="1978" spans="1:6">
      <c r="A1978" s="314"/>
      <c r="B1978" s="314"/>
      <c r="C1978" s="314"/>
      <c r="D1978" s="314"/>
      <c r="E1978" s="313"/>
      <c r="F1978" s="314"/>
    </row>
    <row r="1979" spans="1:6">
      <c r="A1979" s="314"/>
      <c r="B1979" s="314"/>
      <c r="C1979" s="314"/>
      <c r="D1979" s="314"/>
      <c r="E1979" s="313"/>
      <c r="F1979" s="314"/>
    </row>
    <row r="1980" spans="1:6">
      <c r="A1980" s="314"/>
      <c r="B1980" s="314"/>
      <c r="C1980" s="314"/>
      <c r="D1980" s="314"/>
      <c r="E1980" s="313"/>
      <c r="F1980" s="314"/>
    </row>
    <row r="1981" spans="1:6">
      <c r="A1981" s="314"/>
      <c r="B1981" s="314"/>
      <c r="C1981" s="314"/>
      <c r="D1981" s="314"/>
      <c r="E1981" s="313"/>
      <c r="F1981" s="314"/>
    </row>
    <row r="1982" spans="1:6">
      <c r="A1982" s="314"/>
      <c r="B1982" s="314"/>
      <c r="C1982" s="314"/>
      <c r="D1982" s="314"/>
      <c r="E1982" s="313"/>
      <c r="F1982" s="314"/>
    </row>
    <row r="1983" spans="1:6">
      <c r="A1983" s="314"/>
      <c r="B1983" s="314"/>
      <c r="C1983" s="314"/>
      <c r="D1983" s="314"/>
      <c r="E1983" s="313"/>
      <c r="F1983" s="314"/>
    </row>
    <row r="1984" spans="1:6">
      <c r="A1984" s="314"/>
      <c r="B1984" s="314"/>
      <c r="C1984" s="314"/>
      <c r="D1984" s="314"/>
      <c r="E1984" s="313"/>
      <c r="F1984" s="314"/>
    </row>
    <row r="1985" spans="1:6">
      <c r="A1985" s="314"/>
      <c r="B1985" s="314"/>
      <c r="C1985" s="314"/>
      <c r="D1985" s="314"/>
      <c r="E1985" s="313"/>
      <c r="F1985" s="314"/>
    </row>
    <row r="1986" spans="1:6">
      <c r="A1986" s="314"/>
      <c r="B1986" s="314"/>
      <c r="C1986" s="314"/>
      <c r="D1986" s="314"/>
      <c r="E1986" s="313"/>
      <c r="F1986" s="314"/>
    </row>
    <row r="1987" spans="1:6">
      <c r="A1987" s="314"/>
      <c r="B1987" s="314"/>
      <c r="C1987" s="314"/>
      <c r="D1987" s="314"/>
      <c r="E1987" s="313"/>
      <c r="F1987" s="314"/>
    </row>
    <row r="1988" spans="1:6">
      <c r="A1988" s="314"/>
      <c r="B1988" s="314"/>
      <c r="C1988" s="314"/>
      <c r="D1988" s="314"/>
      <c r="E1988" s="313"/>
      <c r="F1988" s="314"/>
    </row>
    <row r="1989" spans="1:6">
      <c r="A1989" s="314"/>
      <c r="B1989" s="314"/>
      <c r="C1989" s="314"/>
      <c r="D1989" s="314"/>
      <c r="E1989" s="313"/>
      <c r="F1989" s="314"/>
    </row>
    <row r="1990" spans="1:6">
      <c r="A1990" s="314"/>
      <c r="B1990" s="314"/>
      <c r="C1990" s="314"/>
      <c r="D1990" s="314"/>
      <c r="E1990" s="313"/>
      <c r="F1990" s="314"/>
    </row>
    <row r="1991" spans="1:6">
      <c r="A1991" s="314"/>
      <c r="B1991" s="314"/>
      <c r="C1991" s="314"/>
      <c r="D1991" s="314"/>
      <c r="E1991" s="313"/>
      <c r="F1991" s="314"/>
    </row>
    <row r="1992" spans="1:6">
      <c r="A1992" s="314"/>
      <c r="B1992" s="314"/>
      <c r="C1992" s="314"/>
      <c r="D1992" s="314"/>
      <c r="E1992" s="313"/>
      <c r="F1992" s="314"/>
    </row>
    <row r="1993" spans="1:6">
      <c r="A1993" s="314"/>
      <c r="B1993" s="314"/>
      <c r="C1993" s="314"/>
      <c r="D1993" s="314"/>
      <c r="E1993" s="313"/>
      <c r="F1993" s="314"/>
    </row>
    <row r="1994" spans="1:6">
      <c r="A1994" s="314"/>
      <c r="B1994" s="314"/>
      <c r="C1994" s="314"/>
      <c r="D1994" s="314"/>
      <c r="E1994" s="313"/>
      <c r="F1994" s="314"/>
    </row>
    <row r="1995" spans="1:6">
      <c r="A1995" s="314"/>
      <c r="B1995" s="314"/>
      <c r="C1995" s="314"/>
      <c r="D1995" s="314"/>
      <c r="E1995" s="313"/>
      <c r="F1995" s="314"/>
    </row>
    <row r="1996" spans="1:6">
      <c r="A1996" s="314"/>
      <c r="B1996" s="314"/>
      <c r="C1996" s="314"/>
      <c r="D1996" s="314"/>
      <c r="E1996" s="313"/>
      <c r="F1996" s="314"/>
    </row>
    <row r="1997" spans="1:6">
      <c r="A1997" s="314"/>
      <c r="B1997" s="314"/>
      <c r="C1997" s="314"/>
      <c r="D1997" s="314"/>
      <c r="E1997" s="313"/>
      <c r="F1997" s="314"/>
    </row>
    <row r="1998" spans="1:6">
      <c r="A1998" s="314"/>
      <c r="B1998" s="314"/>
      <c r="C1998" s="314"/>
      <c r="D1998" s="314"/>
      <c r="E1998" s="313"/>
      <c r="F1998" s="314"/>
    </row>
    <row r="1999" spans="1:6">
      <c r="A1999" s="314"/>
      <c r="B1999" s="314"/>
      <c r="C1999" s="314"/>
      <c r="D1999" s="314"/>
      <c r="E1999" s="313"/>
      <c r="F1999" s="314"/>
    </row>
    <row r="2000" spans="1:6">
      <c r="A2000" s="314"/>
      <c r="B2000" s="314"/>
      <c r="C2000" s="314"/>
      <c r="D2000" s="314"/>
      <c r="E2000" s="313"/>
      <c r="F2000" s="314"/>
    </row>
    <row r="2001" spans="1:6">
      <c r="A2001" s="314"/>
      <c r="B2001" s="314"/>
      <c r="C2001" s="314"/>
      <c r="D2001" s="314"/>
      <c r="E2001" s="313"/>
      <c r="F2001" s="314"/>
    </row>
    <row r="2002" spans="1:6">
      <c r="A2002" s="314"/>
      <c r="B2002" s="314"/>
      <c r="C2002" s="314"/>
      <c r="D2002" s="314"/>
      <c r="E2002" s="313"/>
      <c r="F2002" s="314"/>
    </row>
    <row r="2003" spans="1:6">
      <c r="A2003" s="314"/>
      <c r="B2003" s="314"/>
      <c r="C2003" s="314"/>
      <c r="D2003" s="314"/>
      <c r="E2003" s="313"/>
      <c r="F2003" s="314"/>
    </row>
    <row r="2004" spans="1:6">
      <c r="A2004" s="314"/>
      <c r="B2004" s="314"/>
      <c r="C2004" s="314"/>
      <c r="D2004" s="314"/>
      <c r="E2004" s="313"/>
      <c r="F2004" s="314"/>
    </row>
    <row r="2005" spans="1:6">
      <c r="A2005" s="314"/>
      <c r="B2005" s="314"/>
      <c r="C2005" s="314"/>
      <c r="D2005" s="314"/>
      <c r="E2005" s="313"/>
      <c r="F2005" s="314"/>
    </row>
    <row r="2006" spans="1:6">
      <c r="A2006" s="314"/>
      <c r="B2006" s="314"/>
      <c r="C2006" s="314"/>
      <c r="D2006" s="314"/>
      <c r="E2006" s="313"/>
      <c r="F2006" s="314"/>
    </row>
    <row r="2007" spans="1:6">
      <c r="A2007" s="314"/>
      <c r="B2007" s="314"/>
      <c r="C2007" s="314"/>
      <c r="D2007" s="314"/>
      <c r="E2007" s="313"/>
      <c r="F2007" s="314"/>
    </row>
    <row r="2008" spans="1:6">
      <c r="A2008" s="314"/>
      <c r="B2008" s="314"/>
      <c r="C2008" s="314"/>
      <c r="D2008" s="314"/>
      <c r="E2008" s="313"/>
      <c r="F2008" s="314"/>
    </row>
    <row r="2009" spans="1:6">
      <c r="A2009" s="314"/>
      <c r="B2009" s="314"/>
      <c r="C2009" s="314"/>
      <c r="D2009" s="314"/>
      <c r="E2009" s="313"/>
      <c r="F2009" s="314"/>
    </row>
    <row r="2010" spans="1:6">
      <c r="A2010" s="314"/>
      <c r="B2010" s="314"/>
      <c r="C2010" s="314"/>
      <c r="D2010" s="314"/>
      <c r="E2010" s="313"/>
      <c r="F2010" s="314"/>
    </row>
    <row r="2011" spans="1:6">
      <c r="A2011" s="314"/>
      <c r="B2011" s="314"/>
      <c r="C2011" s="314"/>
      <c r="D2011" s="314"/>
      <c r="E2011" s="313"/>
      <c r="F2011" s="314"/>
    </row>
    <row r="2012" spans="1:6">
      <c r="A2012" s="314"/>
      <c r="B2012" s="314"/>
      <c r="C2012" s="314"/>
      <c r="D2012" s="314"/>
      <c r="E2012" s="313"/>
      <c r="F2012" s="314"/>
    </row>
    <row r="2013" spans="1:6">
      <c r="A2013" s="314"/>
      <c r="B2013" s="314"/>
      <c r="C2013" s="314"/>
      <c r="D2013" s="314"/>
      <c r="E2013" s="313"/>
      <c r="F2013" s="314"/>
    </row>
    <row r="2014" spans="1:6">
      <c r="A2014" s="314"/>
      <c r="B2014" s="314"/>
      <c r="C2014" s="314"/>
      <c r="D2014" s="314"/>
      <c r="E2014" s="313"/>
      <c r="F2014" s="314"/>
    </row>
    <row r="2015" spans="1:6">
      <c r="A2015" s="314"/>
      <c r="B2015" s="314"/>
      <c r="C2015" s="314"/>
      <c r="D2015" s="314"/>
      <c r="E2015" s="313"/>
      <c r="F2015" s="314"/>
    </row>
    <row r="2016" spans="1:6">
      <c r="A2016" s="314"/>
      <c r="B2016" s="314"/>
      <c r="C2016" s="314"/>
      <c r="D2016" s="314"/>
      <c r="E2016" s="313"/>
      <c r="F2016" s="314"/>
    </row>
    <row r="2017" spans="1:6">
      <c r="A2017" s="314"/>
      <c r="B2017" s="314"/>
      <c r="C2017" s="314"/>
      <c r="D2017" s="314"/>
      <c r="E2017" s="313"/>
      <c r="F2017" s="314"/>
    </row>
    <row r="2018" spans="1:6">
      <c r="A2018" s="314"/>
      <c r="B2018" s="314"/>
      <c r="C2018" s="314"/>
      <c r="D2018" s="314"/>
      <c r="E2018" s="313"/>
      <c r="F2018" s="314"/>
    </row>
    <row r="2019" spans="1:6">
      <c r="A2019" s="314"/>
      <c r="B2019" s="314"/>
      <c r="C2019" s="314"/>
      <c r="D2019" s="314"/>
      <c r="E2019" s="313"/>
      <c r="F2019" s="314"/>
    </row>
    <row r="2020" spans="1:6">
      <c r="A2020" s="314"/>
      <c r="B2020" s="314"/>
      <c r="C2020" s="314"/>
      <c r="D2020" s="314"/>
      <c r="E2020" s="313"/>
      <c r="F2020" s="314"/>
    </row>
    <row r="2021" spans="1:6">
      <c r="A2021" s="314"/>
      <c r="B2021" s="314"/>
      <c r="C2021" s="314"/>
      <c r="D2021" s="314"/>
      <c r="E2021" s="313"/>
      <c r="F2021" s="314"/>
    </row>
    <row r="2022" spans="1:6">
      <c r="A2022" s="314"/>
      <c r="B2022" s="314"/>
      <c r="C2022" s="314"/>
      <c r="D2022" s="314"/>
      <c r="E2022" s="313"/>
      <c r="F2022" s="314"/>
    </row>
    <row r="2023" spans="1:6">
      <c r="A2023" s="314"/>
      <c r="B2023" s="314"/>
      <c r="C2023" s="314"/>
      <c r="D2023" s="314"/>
      <c r="E2023" s="313"/>
      <c r="F2023" s="314"/>
    </row>
    <row r="2024" spans="1:6">
      <c r="A2024" s="314"/>
      <c r="B2024" s="314"/>
      <c r="C2024" s="314"/>
      <c r="D2024" s="314"/>
      <c r="E2024" s="313"/>
      <c r="F2024" s="314"/>
    </row>
    <row r="2025" spans="1:6">
      <c r="A2025" s="314"/>
      <c r="B2025" s="314"/>
      <c r="C2025" s="314"/>
      <c r="D2025" s="314"/>
      <c r="E2025" s="313"/>
      <c r="F2025" s="314"/>
    </row>
    <row r="2026" spans="1:6">
      <c r="A2026" s="314"/>
      <c r="B2026" s="314"/>
      <c r="C2026" s="314"/>
      <c r="D2026" s="314"/>
      <c r="E2026" s="313"/>
      <c r="F2026" s="314"/>
    </row>
    <row r="2027" spans="1:6">
      <c r="A2027" s="314"/>
      <c r="B2027" s="314"/>
      <c r="C2027" s="314"/>
      <c r="D2027" s="314"/>
      <c r="E2027" s="313"/>
      <c r="F2027" s="314"/>
    </row>
    <row r="2028" spans="1:6">
      <c r="A2028" s="314"/>
      <c r="B2028" s="314"/>
      <c r="C2028" s="314"/>
      <c r="D2028" s="314"/>
      <c r="E2028" s="313"/>
      <c r="F2028" s="314"/>
    </row>
    <row r="2029" spans="1:6">
      <c r="A2029" s="314"/>
      <c r="B2029" s="314"/>
      <c r="C2029" s="314"/>
      <c r="D2029" s="314"/>
      <c r="E2029" s="313"/>
      <c r="F2029" s="314"/>
    </row>
    <row r="2030" spans="1:6">
      <c r="A2030" s="314"/>
      <c r="B2030" s="314"/>
      <c r="C2030" s="314"/>
      <c r="D2030" s="314"/>
      <c r="E2030" s="313"/>
      <c r="F2030" s="314"/>
    </row>
    <row r="2031" spans="1:6">
      <c r="A2031" s="314"/>
      <c r="B2031" s="314"/>
      <c r="C2031" s="314"/>
      <c r="D2031" s="314"/>
      <c r="E2031" s="313"/>
      <c r="F2031" s="314"/>
    </row>
    <row r="2032" spans="1:6">
      <c r="A2032" s="314"/>
      <c r="B2032" s="314"/>
      <c r="C2032" s="314"/>
      <c r="D2032" s="314"/>
      <c r="E2032" s="313"/>
      <c r="F2032" s="314"/>
    </row>
    <row r="2033" spans="1:6">
      <c r="A2033" s="314"/>
      <c r="B2033" s="314"/>
      <c r="C2033" s="314"/>
      <c r="D2033" s="314"/>
      <c r="E2033" s="313"/>
      <c r="F2033" s="314"/>
    </row>
    <row r="2034" spans="1:6">
      <c r="A2034" s="314"/>
      <c r="B2034" s="314"/>
      <c r="C2034" s="314"/>
      <c r="D2034" s="314"/>
      <c r="E2034" s="313"/>
      <c r="F2034" s="314"/>
    </row>
    <row r="2035" spans="1:6">
      <c r="A2035" s="314"/>
      <c r="B2035" s="314"/>
      <c r="C2035" s="314"/>
      <c r="D2035" s="314"/>
      <c r="E2035" s="313"/>
      <c r="F2035" s="314"/>
    </row>
    <row r="2036" spans="1:6">
      <c r="A2036" s="314"/>
      <c r="B2036" s="314"/>
      <c r="C2036" s="314"/>
      <c r="D2036" s="314"/>
      <c r="E2036" s="313"/>
      <c r="F2036" s="314"/>
    </row>
    <row r="2037" spans="1:6">
      <c r="A2037" s="314"/>
      <c r="B2037" s="314"/>
      <c r="C2037" s="314"/>
      <c r="D2037" s="314"/>
      <c r="E2037" s="313"/>
      <c r="F2037" s="314"/>
    </row>
    <row r="2038" spans="1:6">
      <c r="A2038" s="314"/>
      <c r="B2038" s="314"/>
      <c r="C2038" s="314"/>
      <c r="D2038" s="314"/>
      <c r="E2038" s="313"/>
      <c r="F2038" s="314"/>
    </row>
    <row r="2039" spans="1:6">
      <c r="A2039" s="314"/>
      <c r="B2039" s="314"/>
      <c r="C2039" s="314"/>
      <c r="D2039" s="314"/>
      <c r="E2039" s="313"/>
      <c r="F2039" s="314"/>
    </row>
    <row r="2040" spans="1:6">
      <c r="A2040" s="314"/>
      <c r="B2040" s="314"/>
      <c r="C2040" s="314"/>
      <c r="D2040" s="314"/>
      <c r="E2040" s="313"/>
      <c r="F2040" s="314"/>
    </row>
    <row r="2041" spans="1:6">
      <c r="A2041" s="314"/>
      <c r="B2041" s="314"/>
      <c r="C2041" s="314"/>
      <c r="D2041" s="314"/>
      <c r="E2041" s="313"/>
      <c r="F2041" s="314"/>
    </row>
    <row r="2042" spans="1:6">
      <c r="A2042" s="314"/>
      <c r="B2042" s="314"/>
      <c r="C2042" s="314"/>
      <c r="D2042" s="314"/>
      <c r="E2042" s="313"/>
      <c r="F2042" s="314"/>
    </row>
    <row r="2043" spans="1:6">
      <c r="A2043" s="314"/>
      <c r="B2043" s="314"/>
      <c r="C2043" s="314"/>
      <c r="D2043" s="314"/>
      <c r="E2043" s="313"/>
      <c r="F2043" s="314"/>
    </row>
    <row r="2044" spans="1:6">
      <c r="A2044" s="314"/>
      <c r="B2044" s="314"/>
      <c r="C2044" s="314"/>
      <c r="D2044" s="314"/>
      <c r="E2044" s="313"/>
      <c r="F2044" s="314"/>
    </row>
    <row r="2045" spans="1:6">
      <c r="A2045" s="314"/>
      <c r="B2045" s="314"/>
      <c r="C2045" s="314"/>
      <c r="D2045" s="314"/>
      <c r="E2045" s="313"/>
      <c r="F2045" s="314"/>
    </row>
    <row r="2046" spans="1:6">
      <c r="A2046" s="314"/>
      <c r="B2046" s="314"/>
      <c r="C2046" s="314"/>
      <c r="D2046" s="314"/>
      <c r="E2046" s="313"/>
      <c r="F2046" s="314"/>
    </row>
    <row r="2047" spans="1:6">
      <c r="A2047" s="314"/>
      <c r="B2047" s="314"/>
      <c r="C2047" s="314"/>
      <c r="D2047" s="314"/>
      <c r="E2047" s="313"/>
      <c r="F2047" s="314"/>
    </row>
    <row r="2048" spans="1:6">
      <c r="A2048" s="314"/>
      <c r="B2048" s="314"/>
      <c r="C2048" s="314"/>
      <c r="D2048" s="314"/>
      <c r="E2048" s="313"/>
      <c r="F2048" s="314"/>
    </row>
    <row r="2049" spans="1:6">
      <c r="A2049" s="314"/>
      <c r="B2049" s="314"/>
      <c r="C2049" s="314"/>
      <c r="D2049" s="314"/>
      <c r="E2049" s="313"/>
      <c r="F2049" s="314"/>
    </row>
    <row r="2050" spans="1:6">
      <c r="A2050" s="314"/>
      <c r="B2050" s="314"/>
      <c r="C2050" s="314"/>
      <c r="D2050" s="314"/>
      <c r="E2050" s="313"/>
      <c r="F2050" s="314"/>
    </row>
    <row r="2051" spans="1:6">
      <c r="A2051" s="314"/>
      <c r="B2051" s="314"/>
      <c r="C2051" s="314"/>
      <c r="D2051" s="314"/>
      <c r="E2051" s="313"/>
      <c r="F2051" s="314"/>
    </row>
    <row r="2052" spans="1:6">
      <c r="A2052" s="314"/>
      <c r="B2052" s="314"/>
      <c r="C2052" s="314"/>
      <c r="D2052" s="314"/>
      <c r="E2052" s="313"/>
      <c r="F2052" s="314"/>
    </row>
    <row r="2053" spans="1:6">
      <c r="A2053" s="314"/>
      <c r="B2053" s="314"/>
      <c r="C2053" s="314"/>
      <c r="D2053" s="314"/>
      <c r="E2053" s="313"/>
      <c r="F2053" s="314"/>
    </row>
    <row r="2054" spans="1:6">
      <c r="A2054" s="314"/>
      <c r="B2054" s="314"/>
      <c r="C2054" s="314"/>
      <c r="D2054" s="314"/>
      <c r="E2054" s="313"/>
      <c r="F2054" s="314"/>
    </row>
    <row r="2055" spans="1:6">
      <c r="A2055" s="314"/>
      <c r="B2055" s="314"/>
      <c r="C2055" s="314"/>
      <c r="D2055" s="314"/>
      <c r="E2055" s="313"/>
      <c r="F2055" s="314"/>
    </row>
    <row r="2056" spans="1:6">
      <c r="A2056" s="314"/>
      <c r="B2056" s="314"/>
      <c r="C2056" s="314"/>
      <c r="D2056" s="314"/>
      <c r="E2056" s="313"/>
      <c r="F2056" s="314"/>
    </row>
    <row r="2057" spans="1:6">
      <c r="A2057" s="314"/>
      <c r="B2057" s="314"/>
      <c r="C2057" s="314"/>
      <c r="D2057" s="314"/>
      <c r="E2057" s="313"/>
      <c r="F2057" s="314"/>
    </row>
    <row r="2058" spans="1:6">
      <c r="A2058" s="314"/>
      <c r="B2058" s="314"/>
      <c r="C2058" s="314"/>
      <c r="D2058" s="314"/>
      <c r="E2058" s="313"/>
      <c r="F2058" s="314"/>
    </row>
    <row r="2059" spans="1:6">
      <c r="A2059" s="314"/>
      <c r="B2059" s="314"/>
      <c r="C2059" s="314"/>
      <c r="D2059" s="314"/>
      <c r="E2059" s="313"/>
      <c r="F2059" s="314"/>
    </row>
    <row r="2060" spans="1:6">
      <c r="A2060" s="314"/>
      <c r="B2060" s="314"/>
      <c r="C2060" s="314"/>
      <c r="D2060" s="314"/>
      <c r="E2060" s="313"/>
      <c r="F2060" s="314"/>
    </row>
    <row r="2061" spans="1:6">
      <c r="A2061" s="314"/>
      <c r="B2061" s="314"/>
      <c r="C2061" s="314"/>
      <c r="D2061" s="314"/>
      <c r="E2061" s="313"/>
      <c r="F2061" s="314"/>
    </row>
    <row r="2062" spans="1:6">
      <c r="A2062" s="314"/>
      <c r="B2062" s="314"/>
      <c r="C2062" s="314"/>
      <c r="D2062" s="314"/>
      <c r="E2062" s="313"/>
      <c r="F2062" s="314"/>
    </row>
    <row r="2063" spans="1:6">
      <c r="A2063" s="314"/>
      <c r="B2063" s="314"/>
      <c r="C2063" s="314"/>
      <c r="D2063" s="314"/>
      <c r="E2063" s="313"/>
      <c r="F2063" s="314"/>
    </row>
    <row r="2064" spans="1:6">
      <c r="A2064" s="314"/>
      <c r="B2064" s="314"/>
      <c r="C2064" s="314"/>
      <c r="D2064" s="314"/>
      <c r="E2064" s="313"/>
      <c r="F2064" s="314"/>
    </row>
    <row r="2065" spans="1:6">
      <c r="A2065" s="314"/>
      <c r="B2065" s="314"/>
      <c r="C2065" s="314"/>
      <c r="D2065" s="314"/>
      <c r="E2065" s="313"/>
      <c r="F2065" s="314"/>
    </row>
    <row r="2066" spans="1:6">
      <c r="A2066" s="314"/>
      <c r="B2066" s="314"/>
      <c r="C2066" s="314"/>
      <c r="D2066" s="314"/>
      <c r="E2066" s="313"/>
      <c r="F2066" s="314"/>
    </row>
    <row r="2067" spans="1:6">
      <c r="A2067" s="314"/>
      <c r="B2067" s="314"/>
      <c r="C2067" s="314"/>
      <c r="D2067" s="314"/>
      <c r="E2067" s="313"/>
      <c r="F2067" s="314"/>
    </row>
    <row r="2068" spans="1:6">
      <c r="A2068" s="314"/>
      <c r="B2068" s="314"/>
      <c r="C2068" s="314"/>
      <c r="D2068" s="314"/>
      <c r="E2068" s="313"/>
      <c r="F2068" s="314"/>
    </row>
    <row r="2069" spans="1:6">
      <c r="A2069" s="314"/>
      <c r="B2069" s="314"/>
      <c r="C2069" s="314"/>
      <c r="D2069" s="314"/>
      <c r="E2069" s="313"/>
      <c r="F2069" s="314"/>
    </row>
    <row r="2070" spans="1:6">
      <c r="A2070" s="314"/>
      <c r="B2070" s="314"/>
      <c r="C2070" s="314"/>
      <c r="D2070" s="314"/>
      <c r="E2070" s="313"/>
      <c r="F2070" s="314"/>
    </row>
    <row r="2071" spans="1:6">
      <c r="A2071" s="314"/>
      <c r="B2071" s="314"/>
      <c r="C2071" s="314"/>
      <c r="D2071" s="314"/>
      <c r="E2071" s="313"/>
      <c r="F2071" s="314"/>
    </row>
    <row r="2072" spans="1:6">
      <c r="A2072" s="314"/>
      <c r="B2072" s="314"/>
      <c r="C2072" s="314"/>
      <c r="D2072" s="314"/>
      <c r="E2072" s="313"/>
      <c r="F2072" s="314"/>
    </row>
    <row r="2073" spans="1:6">
      <c r="A2073" s="314"/>
      <c r="B2073" s="314"/>
      <c r="C2073" s="314"/>
      <c r="D2073" s="314"/>
      <c r="E2073" s="313"/>
      <c r="F2073" s="314"/>
    </row>
    <row r="2074" spans="1:6">
      <c r="A2074" s="314"/>
      <c r="B2074" s="314"/>
      <c r="C2074" s="314"/>
      <c r="D2074" s="314"/>
      <c r="E2074" s="313"/>
      <c r="F2074" s="314"/>
    </row>
    <row r="2075" spans="1:6">
      <c r="A2075" s="314"/>
      <c r="B2075" s="314"/>
      <c r="C2075" s="314"/>
      <c r="D2075" s="314"/>
      <c r="E2075" s="313"/>
      <c r="F2075" s="314"/>
    </row>
    <row r="2076" spans="1:6">
      <c r="A2076" s="314"/>
      <c r="B2076" s="314"/>
      <c r="C2076" s="314"/>
      <c r="D2076" s="314"/>
      <c r="E2076" s="313"/>
      <c r="F2076" s="314"/>
    </row>
    <row r="2077" spans="1:6">
      <c r="A2077" s="314"/>
      <c r="B2077" s="314"/>
      <c r="C2077" s="314"/>
      <c r="D2077" s="314"/>
      <c r="E2077" s="313"/>
      <c r="F2077" s="314"/>
    </row>
    <row r="2078" spans="1:6">
      <c r="A2078" s="314"/>
      <c r="B2078" s="314"/>
      <c r="C2078" s="314"/>
      <c r="D2078" s="314"/>
      <c r="E2078" s="313"/>
      <c r="F2078" s="314"/>
    </row>
    <row r="2079" spans="1:6">
      <c r="A2079" s="314"/>
      <c r="B2079" s="314"/>
      <c r="C2079" s="314"/>
      <c r="D2079" s="314"/>
      <c r="E2079" s="313"/>
      <c r="F2079" s="314"/>
    </row>
    <row r="2080" spans="1:6">
      <c r="A2080" s="314"/>
      <c r="B2080" s="314"/>
      <c r="C2080" s="314"/>
      <c r="D2080" s="314"/>
      <c r="E2080" s="313"/>
      <c r="F2080" s="314"/>
    </row>
    <row r="2081" spans="1:6">
      <c r="A2081" s="314"/>
      <c r="B2081" s="314"/>
      <c r="C2081" s="314"/>
      <c r="D2081" s="314"/>
      <c r="E2081" s="313"/>
      <c r="F2081" s="314"/>
    </row>
    <row r="2082" spans="1:6">
      <c r="A2082" s="314"/>
      <c r="B2082" s="314"/>
      <c r="C2082" s="314"/>
      <c r="D2082" s="314"/>
      <c r="E2082" s="313"/>
      <c r="F2082" s="314"/>
    </row>
    <row r="2083" spans="1:6">
      <c r="A2083" s="314"/>
      <c r="B2083" s="314"/>
      <c r="C2083" s="314"/>
      <c r="D2083" s="314"/>
      <c r="E2083" s="313"/>
      <c r="F2083" s="314"/>
    </row>
    <row r="2084" spans="1:6">
      <c r="A2084" s="314"/>
      <c r="B2084" s="314"/>
      <c r="C2084" s="314"/>
      <c r="D2084" s="314"/>
      <c r="E2084" s="313"/>
      <c r="F2084" s="314"/>
    </row>
    <row r="2085" spans="1:6">
      <c r="A2085" s="314"/>
      <c r="B2085" s="314"/>
      <c r="C2085" s="314"/>
      <c r="D2085" s="314"/>
      <c r="E2085" s="313"/>
      <c r="F2085" s="314"/>
    </row>
    <row r="2086" spans="1:6">
      <c r="A2086" s="314"/>
      <c r="B2086" s="314"/>
      <c r="C2086" s="314"/>
      <c r="D2086" s="314"/>
      <c r="E2086" s="313"/>
      <c r="F2086" s="314"/>
    </row>
    <row r="2087" spans="1:6">
      <c r="A2087" s="314"/>
      <c r="B2087" s="314"/>
      <c r="C2087" s="314"/>
      <c r="D2087" s="314"/>
      <c r="E2087" s="313"/>
      <c r="F2087" s="314"/>
    </row>
    <row r="2088" spans="1:6">
      <c r="A2088" s="314"/>
      <c r="B2088" s="314"/>
      <c r="C2088" s="314"/>
      <c r="D2088" s="314"/>
      <c r="E2088" s="313"/>
      <c r="F2088" s="314"/>
    </row>
    <row r="2089" spans="1:6">
      <c r="A2089" s="314"/>
      <c r="B2089" s="314"/>
      <c r="C2089" s="314"/>
      <c r="D2089" s="314"/>
      <c r="E2089" s="313"/>
      <c r="F2089" s="314"/>
    </row>
    <row r="2090" spans="1:6">
      <c r="A2090" s="314"/>
      <c r="B2090" s="314"/>
      <c r="C2090" s="314"/>
      <c r="D2090" s="314"/>
      <c r="E2090" s="313"/>
      <c r="F2090" s="314"/>
    </row>
    <row r="2091" spans="1:6">
      <c r="A2091" s="314"/>
      <c r="B2091" s="314"/>
      <c r="C2091" s="314"/>
      <c r="D2091" s="314"/>
      <c r="E2091" s="313"/>
      <c r="F2091" s="314"/>
    </row>
    <row r="2092" spans="1:6">
      <c r="A2092" s="314"/>
      <c r="B2092" s="314"/>
      <c r="C2092" s="314"/>
      <c r="D2092" s="314"/>
      <c r="E2092" s="313"/>
      <c r="F2092" s="314"/>
    </row>
    <row r="2093" spans="1:6">
      <c r="A2093" s="314"/>
      <c r="B2093" s="314"/>
      <c r="C2093" s="314"/>
      <c r="D2093" s="314"/>
      <c r="E2093" s="313"/>
      <c r="F2093" s="314"/>
    </row>
    <row r="2094" spans="1:6">
      <c r="A2094" s="314"/>
      <c r="B2094" s="314"/>
      <c r="C2094" s="314"/>
      <c r="D2094" s="314"/>
      <c r="E2094" s="313"/>
      <c r="F2094" s="314"/>
    </row>
    <row r="2095" spans="1:6">
      <c r="A2095" s="314"/>
      <c r="B2095" s="314"/>
      <c r="C2095" s="314"/>
      <c r="D2095" s="314"/>
      <c r="E2095" s="313"/>
      <c r="F2095" s="314"/>
    </row>
    <row r="2096" spans="1:6">
      <c r="A2096" s="314"/>
      <c r="B2096" s="314"/>
      <c r="C2096" s="314"/>
      <c r="D2096" s="314"/>
      <c r="E2096" s="313"/>
      <c r="F2096" s="314"/>
    </row>
    <row r="2097" spans="1:6">
      <c r="A2097" s="314"/>
      <c r="B2097" s="314"/>
      <c r="C2097" s="314"/>
      <c r="D2097" s="314"/>
      <c r="E2097" s="313"/>
      <c r="F2097" s="314"/>
    </row>
    <row r="2098" spans="1:6">
      <c r="A2098" s="314"/>
      <c r="B2098" s="314"/>
      <c r="C2098" s="314"/>
      <c r="D2098" s="314"/>
      <c r="E2098" s="313"/>
      <c r="F2098" s="314"/>
    </row>
    <row r="2099" spans="1:6">
      <c r="A2099" s="314"/>
      <c r="B2099" s="314"/>
      <c r="C2099" s="314"/>
      <c r="D2099" s="314"/>
      <c r="E2099" s="313"/>
      <c r="F2099" s="314"/>
    </row>
    <row r="2100" spans="1:6">
      <c r="A2100" s="314"/>
      <c r="B2100" s="314"/>
      <c r="C2100" s="314"/>
      <c r="D2100" s="314"/>
      <c r="E2100" s="313"/>
      <c r="F2100" s="314"/>
    </row>
    <row r="2101" spans="1:6">
      <c r="A2101" s="314"/>
      <c r="B2101" s="314"/>
      <c r="C2101" s="314"/>
      <c r="D2101" s="314"/>
      <c r="E2101" s="313"/>
      <c r="F2101" s="314"/>
    </row>
    <row r="2102" spans="1:6">
      <c r="A2102" s="314"/>
      <c r="B2102" s="314"/>
      <c r="C2102" s="314"/>
      <c r="D2102" s="314"/>
      <c r="E2102" s="313"/>
      <c r="F2102" s="314"/>
    </row>
    <row r="2103" spans="1:6">
      <c r="A2103" s="314"/>
      <c r="B2103" s="314"/>
      <c r="C2103" s="314"/>
      <c r="D2103" s="314"/>
      <c r="E2103" s="313"/>
      <c r="F2103" s="314"/>
    </row>
    <row r="2104" spans="1:6">
      <c r="A2104" s="314"/>
      <c r="B2104" s="314"/>
      <c r="C2104" s="314"/>
      <c r="D2104" s="314"/>
      <c r="E2104" s="313"/>
      <c r="F2104" s="314"/>
    </row>
    <row r="2105" spans="1:6">
      <c r="A2105" s="314"/>
      <c r="B2105" s="314"/>
      <c r="C2105" s="314"/>
      <c r="D2105" s="314"/>
      <c r="E2105" s="313"/>
      <c r="F2105" s="314"/>
    </row>
    <row r="2106" spans="1:6">
      <c r="A2106" s="314"/>
      <c r="B2106" s="314"/>
      <c r="C2106" s="314"/>
      <c r="D2106" s="314"/>
      <c r="E2106" s="313"/>
      <c r="F2106" s="314"/>
    </row>
    <row r="2107" spans="1:6">
      <c r="A2107" s="314"/>
      <c r="B2107" s="314"/>
      <c r="C2107" s="314"/>
      <c r="D2107" s="314"/>
      <c r="E2107" s="313"/>
      <c r="F2107" s="314"/>
    </row>
    <row r="2108" spans="1:6">
      <c r="A2108" s="314"/>
      <c r="B2108" s="314"/>
      <c r="C2108" s="314"/>
      <c r="D2108" s="314"/>
      <c r="E2108" s="313"/>
      <c r="F2108" s="314"/>
    </row>
    <row r="2109" spans="1:6">
      <c r="A2109" s="314"/>
      <c r="B2109" s="314"/>
      <c r="C2109" s="314"/>
      <c r="D2109" s="314"/>
      <c r="E2109" s="313"/>
      <c r="F2109" s="314"/>
    </row>
    <row r="2110" spans="1:6">
      <c r="A2110" s="314"/>
      <c r="B2110" s="314"/>
      <c r="C2110" s="314"/>
      <c r="D2110" s="314"/>
      <c r="E2110" s="313"/>
      <c r="F2110" s="314"/>
    </row>
    <row r="2111" spans="1:6">
      <c r="A2111" s="314"/>
      <c r="B2111" s="314"/>
      <c r="C2111" s="314"/>
      <c r="D2111" s="314"/>
      <c r="E2111" s="313"/>
      <c r="F2111" s="314"/>
    </row>
    <row r="2112" spans="1:6">
      <c r="A2112" s="314"/>
      <c r="B2112" s="314"/>
      <c r="C2112" s="314"/>
      <c r="D2112" s="314"/>
      <c r="E2112" s="313"/>
      <c r="F2112" s="314"/>
    </row>
    <row r="2113" spans="1:6">
      <c r="A2113" s="314"/>
      <c r="B2113" s="314"/>
      <c r="C2113" s="314"/>
      <c r="D2113" s="314"/>
      <c r="E2113" s="313"/>
      <c r="F2113" s="314"/>
    </row>
    <row r="2114" spans="1:6">
      <c r="A2114" s="314"/>
      <c r="B2114" s="314"/>
      <c r="C2114" s="314"/>
      <c r="D2114" s="314"/>
      <c r="E2114" s="313"/>
      <c r="F2114" s="314"/>
    </row>
    <row r="2115" spans="1:6">
      <c r="A2115" s="314"/>
      <c r="B2115" s="314"/>
      <c r="C2115" s="314"/>
      <c r="D2115" s="314"/>
      <c r="E2115" s="313"/>
      <c r="F2115" s="314"/>
    </row>
    <row r="2116" spans="1:6">
      <c r="A2116" s="314"/>
      <c r="B2116" s="314"/>
      <c r="C2116" s="314"/>
      <c r="D2116" s="314"/>
      <c r="E2116" s="313"/>
      <c r="F2116" s="314"/>
    </row>
    <row r="2117" spans="1:6">
      <c r="A2117" s="314"/>
      <c r="B2117" s="314"/>
      <c r="C2117" s="314"/>
      <c r="D2117" s="314"/>
      <c r="E2117" s="313"/>
      <c r="F2117" s="314"/>
    </row>
    <row r="2118" spans="1:6">
      <c r="A2118" s="314"/>
      <c r="B2118" s="314"/>
      <c r="C2118" s="314"/>
      <c r="D2118" s="314"/>
      <c r="E2118" s="313"/>
      <c r="F2118" s="314"/>
    </row>
    <row r="2119" spans="1:6">
      <c r="A2119" s="314"/>
      <c r="B2119" s="314"/>
      <c r="C2119" s="314"/>
      <c r="D2119" s="314"/>
      <c r="E2119" s="313"/>
      <c r="F2119" s="314"/>
    </row>
    <row r="2120" spans="1:6">
      <c r="A2120" s="314"/>
      <c r="B2120" s="314"/>
      <c r="C2120" s="314"/>
      <c r="D2120" s="314"/>
      <c r="E2120" s="313"/>
      <c r="F2120" s="314"/>
    </row>
    <row r="2121" spans="1:6">
      <c r="A2121" s="314"/>
      <c r="B2121" s="314"/>
      <c r="C2121" s="314"/>
      <c r="D2121" s="314"/>
      <c r="E2121" s="313"/>
      <c r="F2121" s="314"/>
    </row>
    <row r="2122" spans="1:6">
      <c r="A2122" s="314"/>
      <c r="B2122" s="314"/>
      <c r="C2122" s="314"/>
      <c r="D2122" s="314"/>
      <c r="E2122" s="313"/>
      <c r="F2122" s="314"/>
    </row>
    <row r="2123" spans="1:6">
      <c r="A2123" s="314"/>
      <c r="B2123" s="314"/>
      <c r="C2123" s="314"/>
      <c r="D2123" s="314"/>
      <c r="E2123" s="313"/>
      <c r="F2123" s="314"/>
    </row>
    <row r="2124" spans="1:6">
      <c r="A2124" s="314"/>
      <c r="B2124" s="314"/>
      <c r="C2124" s="314"/>
      <c r="D2124" s="314"/>
      <c r="E2124" s="313"/>
      <c r="F2124" s="314"/>
    </row>
    <row r="2125" spans="1:6">
      <c r="A2125" s="314"/>
      <c r="B2125" s="314"/>
      <c r="C2125" s="314"/>
      <c r="D2125" s="314"/>
      <c r="E2125" s="313"/>
      <c r="F2125" s="314"/>
    </row>
    <row r="2126" spans="1:6">
      <c r="A2126" s="314"/>
      <c r="B2126" s="314"/>
      <c r="C2126" s="314"/>
      <c r="D2126" s="314"/>
      <c r="E2126" s="313"/>
      <c r="F2126" s="314"/>
    </row>
    <row r="2127" spans="1:6">
      <c r="A2127" s="314"/>
      <c r="B2127" s="314"/>
      <c r="C2127" s="314"/>
      <c r="D2127" s="314"/>
      <c r="E2127" s="313"/>
      <c r="F2127" s="314"/>
    </row>
    <row r="2128" spans="1:6">
      <c r="A2128" s="314"/>
      <c r="B2128" s="314"/>
      <c r="C2128" s="314"/>
      <c r="D2128" s="314"/>
      <c r="E2128" s="313"/>
      <c r="F2128" s="314"/>
    </row>
    <row r="2129" spans="1:6">
      <c r="A2129" s="314"/>
      <c r="B2129" s="314"/>
      <c r="C2129" s="314"/>
      <c r="D2129" s="314"/>
      <c r="E2129" s="313"/>
      <c r="F2129" s="314"/>
    </row>
    <row r="2130" spans="1:6">
      <c r="A2130" s="314"/>
      <c r="B2130" s="314"/>
      <c r="C2130" s="314"/>
      <c r="D2130" s="314"/>
      <c r="E2130" s="313"/>
      <c r="F2130" s="314"/>
    </row>
    <row r="2131" spans="1:6">
      <c r="A2131" s="314"/>
      <c r="B2131" s="314"/>
      <c r="C2131" s="314"/>
      <c r="D2131" s="314"/>
      <c r="E2131" s="313"/>
      <c r="F2131" s="314"/>
    </row>
    <row r="2132" spans="1:6">
      <c r="A2132" s="314"/>
      <c r="B2132" s="314"/>
      <c r="C2132" s="314"/>
      <c r="D2132" s="314"/>
      <c r="E2132" s="313"/>
      <c r="F2132" s="314"/>
    </row>
    <row r="2133" spans="1:6">
      <c r="A2133" s="314"/>
      <c r="B2133" s="314"/>
      <c r="C2133" s="314"/>
      <c r="D2133" s="314"/>
      <c r="E2133" s="313"/>
      <c r="F2133" s="314"/>
    </row>
    <row r="2134" spans="1:6">
      <c r="A2134" s="314"/>
      <c r="B2134" s="314"/>
      <c r="C2134" s="314"/>
      <c r="D2134" s="314"/>
      <c r="E2134" s="313"/>
      <c r="F2134" s="314"/>
    </row>
    <row r="2135" spans="1:6">
      <c r="A2135" s="314"/>
      <c r="B2135" s="314"/>
      <c r="C2135" s="314"/>
      <c r="D2135" s="314"/>
      <c r="E2135" s="313"/>
      <c r="F2135" s="314"/>
    </row>
    <row r="2136" spans="1:6">
      <c r="A2136" s="314"/>
      <c r="B2136" s="314"/>
      <c r="C2136" s="314"/>
      <c r="D2136" s="314"/>
      <c r="E2136" s="313"/>
      <c r="F2136" s="314"/>
    </row>
    <row r="2137" spans="1:6">
      <c r="A2137" s="314"/>
      <c r="B2137" s="314"/>
      <c r="C2137" s="314"/>
      <c r="D2137" s="314"/>
      <c r="E2137" s="313"/>
      <c r="F2137" s="314"/>
    </row>
    <row r="2138" spans="1:6">
      <c r="A2138" s="314"/>
      <c r="B2138" s="314"/>
      <c r="C2138" s="314"/>
      <c r="D2138" s="314"/>
      <c r="E2138" s="313"/>
      <c r="F2138" s="314"/>
    </row>
    <row r="2139" spans="1:6">
      <c r="A2139" s="314"/>
      <c r="B2139" s="314"/>
      <c r="C2139" s="314"/>
      <c r="D2139" s="314"/>
      <c r="E2139" s="313"/>
      <c r="F2139" s="314"/>
    </row>
    <row r="2140" spans="1:6">
      <c r="A2140" s="314"/>
      <c r="B2140" s="314"/>
      <c r="C2140" s="314"/>
      <c r="D2140" s="314"/>
      <c r="E2140" s="313"/>
      <c r="F2140" s="314"/>
    </row>
    <row r="2141" spans="1:6">
      <c r="A2141" s="314"/>
      <c r="B2141" s="314"/>
      <c r="C2141" s="314"/>
      <c r="D2141" s="314"/>
      <c r="E2141" s="313"/>
      <c r="F2141" s="314"/>
    </row>
    <row r="2142" spans="1:6">
      <c r="A2142" s="314"/>
      <c r="B2142" s="314"/>
      <c r="C2142" s="314"/>
      <c r="D2142" s="314"/>
      <c r="E2142" s="313"/>
      <c r="F2142" s="314"/>
    </row>
    <row r="2143" spans="1:6">
      <c r="A2143" s="314"/>
      <c r="B2143" s="314"/>
      <c r="C2143" s="314"/>
      <c r="D2143" s="314"/>
      <c r="E2143" s="313"/>
      <c r="F2143" s="314"/>
    </row>
    <row r="2144" spans="1:6">
      <c r="A2144" s="314"/>
      <c r="B2144" s="314"/>
      <c r="C2144" s="314"/>
      <c r="D2144" s="314"/>
      <c r="E2144" s="313"/>
      <c r="F2144" s="314"/>
    </row>
    <row r="2145" spans="1:6">
      <c r="A2145" s="314"/>
      <c r="B2145" s="314"/>
      <c r="C2145" s="314"/>
      <c r="D2145" s="314"/>
      <c r="E2145" s="313"/>
      <c r="F2145" s="314"/>
    </row>
    <row r="2146" spans="1:6">
      <c r="A2146" s="314"/>
      <c r="B2146" s="314"/>
      <c r="C2146" s="314"/>
      <c r="D2146" s="314"/>
      <c r="E2146" s="313"/>
      <c r="F2146" s="314"/>
    </row>
    <row r="2147" spans="1:6">
      <c r="A2147" s="314"/>
      <c r="B2147" s="314"/>
      <c r="C2147" s="314"/>
      <c r="D2147" s="314"/>
      <c r="E2147" s="313"/>
      <c r="F2147" s="314"/>
    </row>
    <row r="2148" spans="1:6">
      <c r="A2148" s="314"/>
      <c r="B2148" s="314"/>
      <c r="C2148" s="314"/>
      <c r="D2148" s="314"/>
      <c r="E2148" s="313"/>
      <c r="F2148" s="314"/>
    </row>
    <row r="2149" spans="1:6">
      <c r="A2149" s="314"/>
      <c r="B2149" s="314"/>
      <c r="C2149" s="314"/>
      <c r="D2149" s="314"/>
      <c r="E2149" s="313"/>
      <c r="F2149" s="314"/>
    </row>
    <row r="2150" spans="1:6">
      <c r="A2150" s="314"/>
      <c r="B2150" s="314"/>
      <c r="C2150" s="314"/>
      <c r="D2150" s="314"/>
      <c r="E2150" s="313"/>
      <c r="F2150" s="314"/>
    </row>
    <row r="2151" spans="1:6">
      <c r="A2151" s="314"/>
      <c r="B2151" s="314"/>
      <c r="C2151" s="314"/>
      <c r="D2151" s="314"/>
      <c r="E2151" s="313"/>
      <c r="F2151" s="314"/>
    </row>
    <row r="2152" spans="1:6">
      <c r="A2152" s="314"/>
      <c r="B2152" s="314"/>
      <c r="C2152" s="314"/>
      <c r="D2152" s="314"/>
      <c r="E2152" s="313"/>
      <c r="F2152" s="314"/>
    </row>
    <row r="2153" spans="1:6">
      <c r="A2153" s="314"/>
      <c r="B2153" s="314"/>
      <c r="C2153" s="314"/>
      <c r="D2153" s="314"/>
      <c r="E2153" s="313"/>
      <c r="F2153" s="314"/>
    </row>
    <row r="2154" spans="1:6">
      <c r="A2154" s="314"/>
      <c r="B2154" s="314"/>
      <c r="C2154" s="314"/>
      <c r="D2154" s="314"/>
      <c r="E2154" s="313"/>
      <c r="F2154" s="314"/>
    </row>
    <row r="2155" spans="1:6">
      <c r="A2155" s="314"/>
      <c r="B2155" s="314"/>
      <c r="C2155" s="314"/>
      <c r="D2155" s="314"/>
      <c r="E2155" s="313"/>
      <c r="F2155" s="314"/>
    </row>
    <row r="2156" spans="1:6">
      <c r="A2156" s="314"/>
      <c r="B2156" s="314"/>
      <c r="C2156" s="314"/>
      <c r="D2156" s="314"/>
      <c r="E2156" s="313"/>
      <c r="F2156" s="314"/>
    </row>
    <row r="2157" spans="1:6">
      <c r="A2157" s="314"/>
      <c r="B2157" s="314"/>
      <c r="C2157" s="314"/>
      <c r="D2157" s="314"/>
      <c r="E2157" s="313"/>
      <c r="F2157" s="314"/>
    </row>
    <row r="2158" spans="1:6">
      <c r="A2158" s="314"/>
      <c r="B2158" s="314"/>
      <c r="C2158" s="314"/>
      <c r="D2158" s="314"/>
      <c r="E2158" s="313"/>
      <c r="F2158" s="314"/>
    </row>
    <row r="2159" spans="1:6">
      <c r="A2159" s="314"/>
      <c r="B2159" s="314"/>
      <c r="C2159" s="314"/>
      <c r="D2159" s="314"/>
      <c r="E2159" s="313"/>
      <c r="F2159" s="314"/>
    </row>
    <row r="2160" spans="1:6">
      <c r="A2160" s="314"/>
      <c r="B2160" s="314"/>
      <c r="C2160" s="314"/>
      <c r="D2160" s="314"/>
      <c r="E2160" s="313"/>
      <c r="F2160" s="314"/>
    </row>
    <row r="2161" spans="1:6">
      <c r="A2161" s="314"/>
      <c r="B2161" s="314"/>
      <c r="C2161" s="314"/>
      <c r="D2161" s="314"/>
      <c r="E2161" s="313"/>
      <c r="F2161" s="314"/>
    </row>
    <row r="2162" spans="1:6">
      <c r="A2162" s="314"/>
      <c r="B2162" s="314"/>
      <c r="C2162" s="314"/>
      <c r="D2162" s="314"/>
      <c r="E2162" s="313"/>
      <c r="F2162" s="314"/>
    </row>
    <row r="2163" spans="1:6">
      <c r="A2163" s="314"/>
      <c r="B2163" s="314"/>
      <c r="C2163" s="314"/>
      <c r="D2163" s="314"/>
      <c r="E2163" s="313"/>
      <c r="F2163" s="314"/>
    </row>
    <row r="2164" spans="1:6">
      <c r="A2164" s="314"/>
      <c r="B2164" s="314"/>
      <c r="C2164" s="314"/>
      <c r="D2164" s="314"/>
      <c r="E2164" s="313"/>
      <c r="F2164" s="314"/>
    </row>
    <row r="2165" spans="1:6">
      <c r="A2165" s="314"/>
      <c r="B2165" s="314"/>
      <c r="C2165" s="314"/>
      <c r="D2165" s="314"/>
      <c r="E2165" s="313"/>
      <c r="F2165" s="314"/>
    </row>
    <row r="2166" spans="1:6">
      <c r="A2166" s="314"/>
      <c r="B2166" s="314"/>
      <c r="C2166" s="314"/>
      <c r="D2166" s="314"/>
      <c r="E2166" s="313"/>
      <c r="F2166" s="314"/>
    </row>
    <row r="2167" spans="1:6">
      <c r="A2167" s="314"/>
      <c r="B2167" s="314"/>
      <c r="C2167" s="314"/>
      <c r="D2167" s="314"/>
      <c r="E2167" s="313"/>
      <c r="F2167" s="314"/>
    </row>
    <row r="2168" spans="1:6">
      <c r="A2168" s="314"/>
      <c r="B2168" s="314"/>
      <c r="C2168" s="314"/>
      <c r="D2168" s="314"/>
      <c r="E2168" s="313"/>
      <c r="F2168" s="314"/>
    </row>
    <row r="2169" spans="1:6">
      <c r="A2169" s="314"/>
      <c r="B2169" s="314"/>
      <c r="C2169" s="314"/>
      <c r="D2169" s="314"/>
      <c r="E2169" s="313"/>
      <c r="F2169" s="314"/>
    </row>
    <row r="2170" spans="1:6">
      <c r="A2170" s="314"/>
      <c r="B2170" s="314"/>
      <c r="C2170" s="314"/>
      <c r="D2170" s="314"/>
      <c r="E2170" s="313"/>
      <c r="F2170" s="314"/>
    </row>
    <row r="2171" spans="1:6">
      <c r="A2171" s="314"/>
      <c r="B2171" s="314"/>
      <c r="C2171" s="314"/>
      <c r="D2171" s="314"/>
      <c r="E2171" s="313"/>
      <c r="F2171" s="314"/>
    </row>
    <row r="2172" spans="1:6">
      <c r="A2172" s="314"/>
      <c r="B2172" s="314"/>
      <c r="C2172" s="314"/>
      <c r="D2172" s="314"/>
      <c r="E2172" s="313"/>
      <c r="F2172" s="314"/>
    </row>
    <row r="2173" spans="1:6">
      <c r="A2173" s="314"/>
      <c r="B2173" s="314"/>
      <c r="C2173" s="314"/>
      <c r="D2173" s="314"/>
      <c r="E2173" s="313"/>
      <c r="F2173" s="314"/>
    </row>
    <row r="2174" spans="1:6">
      <c r="A2174" s="314"/>
      <c r="B2174" s="314"/>
      <c r="C2174" s="314"/>
      <c r="D2174" s="314"/>
      <c r="E2174" s="313"/>
      <c r="F2174" s="314"/>
    </row>
    <row r="2175" spans="1:6">
      <c r="A2175" s="314"/>
      <c r="B2175" s="314"/>
      <c r="C2175" s="314"/>
      <c r="D2175" s="314"/>
      <c r="E2175" s="313"/>
      <c r="F2175" s="314"/>
    </row>
    <row r="2176" spans="1:6">
      <c r="A2176" s="314"/>
      <c r="B2176" s="314"/>
      <c r="C2176" s="314"/>
      <c r="D2176" s="314"/>
      <c r="E2176" s="313"/>
      <c r="F2176" s="314"/>
    </row>
    <row r="2177" spans="1:6">
      <c r="A2177" s="314"/>
      <c r="B2177" s="314"/>
      <c r="C2177" s="314"/>
      <c r="D2177" s="314"/>
      <c r="E2177" s="313"/>
      <c r="F2177" s="314"/>
    </row>
    <row r="2178" spans="1:6">
      <c r="A2178" s="314"/>
      <c r="B2178" s="314"/>
      <c r="C2178" s="314"/>
      <c r="D2178" s="314"/>
      <c r="E2178" s="313"/>
      <c r="F2178" s="314"/>
    </row>
    <row r="2179" spans="1:6">
      <c r="A2179" s="314"/>
      <c r="B2179" s="314"/>
      <c r="C2179" s="314"/>
      <c r="D2179" s="314"/>
      <c r="E2179" s="313"/>
      <c r="F2179" s="314"/>
    </row>
    <row r="2180" spans="1:6">
      <c r="A2180" s="314"/>
      <c r="B2180" s="314"/>
      <c r="C2180" s="314"/>
      <c r="D2180" s="314"/>
      <c r="E2180" s="313"/>
      <c r="F2180" s="314"/>
    </row>
    <row r="2181" spans="1:6">
      <c r="A2181" s="314"/>
      <c r="B2181" s="314"/>
      <c r="C2181" s="314"/>
      <c r="D2181" s="314"/>
      <c r="E2181" s="313"/>
      <c r="F2181" s="314"/>
    </row>
    <row r="2182" spans="1:6">
      <c r="A2182" s="314"/>
      <c r="B2182" s="314"/>
      <c r="C2182" s="314"/>
      <c r="D2182" s="314"/>
      <c r="E2182" s="313"/>
      <c r="F2182" s="314"/>
    </row>
    <row r="2183" spans="1:6">
      <c r="A2183" s="314"/>
      <c r="B2183" s="314"/>
      <c r="C2183" s="314"/>
      <c r="D2183" s="314"/>
      <c r="E2183" s="313"/>
      <c r="F2183" s="314"/>
    </row>
    <row r="2184" spans="1:6">
      <c r="A2184" s="314"/>
      <c r="B2184" s="314"/>
      <c r="C2184" s="314"/>
      <c r="D2184" s="314"/>
      <c r="E2184" s="313"/>
      <c r="F2184" s="314"/>
    </row>
    <row r="2185" spans="1:6">
      <c r="A2185" s="314"/>
      <c r="B2185" s="314"/>
      <c r="C2185" s="314"/>
      <c r="D2185" s="314"/>
      <c r="E2185" s="313"/>
      <c r="F2185" s="314"/>
    </row>
    <row r="2186" spans="1:6">
      <c r="A2186" s="314"/>
      <c r="B2186" s="314"/>
      <c r="C2186" s="314"/>
      <c r="D2186" s="314"/>
      <c r="E2186" s="313"/>
      <c r="F2186" s="314"/>
    </row>
    <row r="2187" spans="1:6">
      <c r="A2187" s="314"/>
      <c r="B2187" s="314"/>
      <c r="C2187" s="314"/>
      <c r="D2187" s="314"/>
      <c r="E2187" s="313"/>
      <c r="F2187" s="314"/>
    </row>
    <row r="2188" spans="1:6">
      <c r="A2188" s="314"/>
      <c r="B2188" s="314"/>
      <c r="C2188" s="314"/>
      <c r="D2188" s="314"/>
      <c r="E2188" s="313"/>
      <c r="F2188" s="314"/>
    </row>
    <row r="2189" spans="1:6">
      <c r="A2189" s="314"/>
      <c r="B2189" s="314"/>
      <c r="C2189" s="314"/>
      <c r="D2189" s="314"/>
      <c r="E2189" s="313"/>
      <c r="F2189" s="314"/>
    </row>
    <row r="2190" spans="1:6">
      <c r="A2190" s="314"/>
      <c r="B2190" s="314"/>
      <c r="C2190" s="314"/>
      <c r="D2190" s="314"/>
      <c r="E2190" s="313"/>
      <c r="F2190" s="314"/>
    </row>
    <row r="2191" spans="1:6">
      <c r="A2191" s="314"/>
      <c r="B2191" s="314"/>
      <c r="C2191" s="314"/>
      <c r="D2191" s="314"/>
      <c r="E2191" s="313"/>
      <c r="F2191" s="314"/>
    </row>
    <row r="2192" spans="1:6">
      <c r="A2192" s="314"/>
      <c r="B2192" s="314"/>
      <c r="C2192" s="314"/>
      <c r="D2192" s="314"/>
      <c r="E2192" s="313"/>
      <c r="F2192" s="314"/>
    </row>
    <row r="2193" spans="1:6">
      <c r="A2193" s="314"/>
      <c r="B2193" s="314"/>
      <c r="C2193" s="314"/>
      <c r="D2193" s="314"/>
      <c r="E2193" s="313"/>
      <c r="F2193" s="314"/>
    </row>
    <row r="2194" spans="1:6">
      <c r="A2194" s="314"/>
      <c r="B2194" s="314"/>
      <c r="C2194" s="314"/>
      <c r="D2194" s="314"/>
      <c r="E2194" s="313"/>
      <c r="F2194" s="314"/>
    </row>
    <row r="2195" spans="1:6">
      <c r="A2195" s="314"/>
      <c r="B2195" s="314"/>
      <c r="C2195" s="314"/>
      <c r="D2195" s="314"/>
      <c r="E2195" s="313"/>
      <c r="F2195" s="314"/>
    </row>
    <row r="2196" spans="1:6">
      <c r="A2196" s="314"/>
      <c r="B2196" s="314"/>
      <c r="C2196" s="314"/>
      <c r="D2196" s="314"/>
      <c r="E2196" s="313"/>
      <c r="F2196" s="314"/>
    </row>
    <row r="2197" spans="1:6">
      <c r="A2197" s="314"/>
      <c r="B2197" s="314"/>
      <c r="C2197" s="314"/>
      <c r="D2197" s="314"/>
      <c r="E2197" s="313"/>
      <c r="F2197" s="314"/>
    </row>
    <row r="2198" spans="1:6">
      <c r="A2198" s="314"/>
      <c r="B2198" s="314"/>
      <c r="C2198" s="314"/>
      <c r="D2198" s="314"/>
      <c r="E2198" s="313"/>
      <c r="F2198" s="314"/>
    </row>
    <row r="2199" spans="1:6">
      <c r="A2199" s="314"/>
      <c r="B2199" s="314"/>
      <c r="C2199" s="314"/>
      <c r="D2199" s="314"/>
      <c r="E2199" s="313"/>
      <c r="F2199" s="314"/>
    </row>
    <row r="2200" spans="1:6">
      <c r="A2200" s="314"/>
      <c r="B2200" s="314"/>
      <c r="C2200" s="314"/>
      <c r="D2200" s="314"/>
      <c r="E2200" s="313"/>
      <c r="F2200" s="314"/>
    </row>
    <row r="2201" spans="1:6">
      <c r="A2201" s="314"/>
      <c r="B2201" s="314"/>
      <c r="C2201" s="314"/>
      <c r="D2201" s="314"/>
      <c r="E2201" s="313"/>
      <c r="F2201" s="314"/>
    </row>
    <row r="2202" spans="1:6">
      <c r="A2202" s="314"/>
      <c r="B2202" s="314"/>
      <c r="C2202" s="314"/>
      <c r="D2202" s="314"/>
      <c r="E2202" s="313"/>
      <c r="F2202" s="314"/>
    </row>
    <row r="2203" spans="1:6">
      <c r="A2203" s="314"/>
      <c r="B2203" s="314"/>
      <c r="C2203" s="314"/>
      <c r="D2203" s="314"/>
      <c r="E2203" s="313"/>
      <c r="F2203" s="314"/>
    </row>
    <row r="2204" spans="1:6">
      <c r="A2204" s="314"/>
      <c r="B2204" s="314"/>
      <c r="C2204" s="314"/>
      <c r="D2204" s="314"/>
      <c r="E2204" s="313"/>
      <c r="F2204" s="314"/>
    </row>
    <row r="2205" spans="1:6">
      <c r="A2205" s="314"/>
      <c r="B2205" s="314"/>
      <c r="C2205" s="314"/>
      <c r="D2205" s="314"/>
      <c r="E2205" s="313"/>
      <c r="F2205" s="314"/>
    </row>
    <row r="2206" spans="1:6">
      <c r="A2206" s="314"/>
      <c r="B2206" s="314"/>
      <c r="C2206" s="314"/>
      <c r="D2206" s="314"/>
      <c r="E2206" s="313"/>
      <c r="F2206" s="314"/>
    </row>
    <row r="2207" spans="1:6">
      <c r="A2207" s="314"/>
      <c r="B2207" s="314"/>
      <c r="C2207" s="314"/>
      <c r="D2207" s="314"/>
      <c r="E2207" s="313"/>
      <c r="F2207" s="314"/>
    </row>
    <row r="2208" spans="1:6">
      <c r="A2208" s="314"/>
      <c r="B2208" s="314"/>
      <c r="C2208" s="314"/>
      <c r="D2208" s="314"/>
      <c r="E2208" s="313"/>
      <c r="F2208" s="314"/>
    </row>
    <row r="2209" spans="1:6">
      <c r="A2209" s="314"/>
      <c r="B2209" s="314"/>
      <c r="C2209" s="314"/>
      <c r="D2209" s="314"/>
      <c r="E2209" s="313"/>
      <c r="F2209" s="314"/>
    </row>
    <row r="2210" spans="1:6">
      <c r="A2210" s="314"/>
      <c r="B2210" s="314"/>
      <c r="C2210" s="314"/>
      <c r="D2210" s="314"/>
      <c r="E2210" s="313"/>
      <c r="F2210" s="314"/>
    </row>
    <row r="2211" spans="1:6">
      <c r="A2211" s="314"/>
      <c r="B2211" s="314"/>
      <c r="C2211" s="314"/>
      <c r="D2211" s="314"/>
      <c r="E2211" s="313"/>
      <c r="F2211" s="314"/>
    </row>
    <row r="2212" spans="1:6">
      <c r="A2212" s="314"/>
      <c r="B2212" s="314"/>
      <c r="C2212" s="314"/>
      <c r="D2212" s="314"/>
      <c r="E2212" s="313"/>
      <c r="F2212" s="314"/>
    </row>
    <row r="2213" spans="1:6">
      <c r="A2213" s="314"/>
      <c r="B2213" s="314"/>
      <c r="C2213" s="314"/>
      <c r="D2213" s="314"/>
      <c r="E2213" s="313"/>
      <c r="F2213" s="314"/>
    </row>
    <row r="2214" spans="1:6">
      <c r="A2214" s="314"/>
      <c r="B2214" s="314"/>
      <c r="C2214" s="314"/>
      <c r="D2214" s="314"/>
      <c r="E2214" s="313"/>
      <c r="F2214" s="314"/>
    </row>
    <row r="2215" spans="1:6">
      <c r="A2215" s="314"/>
      <c r="B2215" s="314"/>
      <c r="C2215" s="314"/>
      <c r="D2215" s="314"/>
      <c r="E2215" s="313"/>
      <c r="F2215" s="314"/>
    </row>
    <row r="2216" spans="1:6">
      <c r="A2216" s="314"/>
      <c r="B2216" s="314"/>
      <c r="C2216" s="314"/>
      <c r="D2216" s="314"/>
      <c r="E2216" s="313"/>
      <c r="F2216" s="314"/>
    </row>
    <row r="2217" spans="1:6">
      <c r="A2217" s="314"/>
      <c r="B2217" s="314"/>
      <c r="C2217" s="314"/>
      <c r="D2217" s="314"/>
      <c r="E2217" s="313"/>
      <c r="F2217" s="314"/>
    </row>
    <row r="2218" spans="1:6">
      <c r="A2218" s="314"/>
      <c r="B2218" s="314"/>
      <c r="C2218" s="314"/>
      <c r="D2218" s="314"/>
      <c r="E2218" s="313"/>
      <c r="F2218" s="314"/>
    </row>
    <row r="2219" spans="1:6">
      <c r="A2219" s="314"/>
      <c r="B2219" s="314"/>
      <c r="C2219" s="314"/>
      <c r="D2219" s="314"/>
      <c r="E2219" s="313"/>
      <c r="F2219" s="314"/>
    </row>
    <row r="2220" spans="1:6">
      <c r="A2220" s="314"/>
      <c r="B2220" s="314"/>
      <c r="C2220" s="314"/>
      <c r="D2220" s="314"/>
      <c r="E2220" s="313"/>
      <c r="F2220" s="314"/>
    </row>
    <row r="2221" spans="1:6">
      <c r="A2221" s="314"/>
      <c r="B2221" s="314"/>
      <c r="C2221" s="314"/>
      <c r="D2221" s="314"/>
      <c r="E2221" s="313"/>
      <c r="F2221" s="314"/>
    </row>
    <row r="2222" spans="1:6">
      <c r="A2222" s="314"/>
      <c r="B2222" s="314"/>
      <c r="C2222" s="314"/>
      <c r="D2222" s="314"/>
      <c r="E2222" s="313"/>
      <c r="F2222" s="314"/>
    </row>
    <row r="2223" spans="1:6">
      <c r="A2223" s="314"/>
      <c r="B2223" s="314"/>
      <c r="C2223" s="314"/>
      <c r="D2223" s="314"/>
      <c r="E2223" s="313"/>
      <c r="F2223" s="314"/>
    </row>
    <row r="2224" spans="1:6">
      <c r="A2224" s="314"/>
      <c r="B2224" s="314"/>
      <c r="C2224" s="314"/>
      <c r="D2224" s="314"/>
      <c r="E2224" s="313"/>
      <c r="F2224" s="314"/>
    </row>
    <row r="2225" spans="1:6">
      <c r="A2225" s="314"/>
      <c r="B2225" s="314"/>
      <c r="C2225" s="314"/>
      <c r="D2225" s="314"/>
      <c r="E2225" s="313"/>
      <c r="F2225" s="314"/>
    </row>
    <row r="2226" spans="1:6">
      <c r="A2226" s="314"/>
      <c r="B2226" s="314"/>
      <c r="C2226" s="314"/>
      <c r="D2226" s="314"/>
      <c r="E2226" s="313"/>
      <c r="F2226" s="314"/>
    </row>
    <row r="2227" spans="1:6">
      <c r="A2227" s="314"/>
      <c r="B2227" s="314"/>
      <c r="C2227" s="314"/>
      <c r="D2227" s="314"/>
      <c r="E2227" s="313"/>
      <c r="F2227" s="314"/>
    </row>
    <row r="2228" spans="1:6">
      <c r="A2228" s="314"/>
      <c r="B2228" s="314"/>
      <c r="C2228" s="314"/>
      <c r="D2228" s="314"/>
      <c r="E2228" s="313"/>
      <c r="F2228" s="314"/>
    </row>
    <row r="2229" spans="1:6">
      <c r="A2229" s="314"/>
      <c r="B2229" s="314"/>
      <c r="C2229" s="314"/>
      <c r="D2229" s="314"/>
      <c r="E2229" s="313"/>
      <c r="F2229" s="314"/>
    </row>
    <row r="2230" spans="1:6">
      <c r="A2230" s="314"/>
      <c r="B2230" s="314"/>
      <c r="C2230" s="314"/>
      <c r="D2230" s="314"/>
      <c r="E2230" s="313"/>
      <c r="F2230" s="314"/>
    </row>
    <row r="2231" spans="1:6">
      <c r="A2231" s="314"/>
      <c r="B2231" s="314"/>
      <c r="C2231" s="314"/>
      <c r="D2231" s="314"/>
      <c r="E2231" s="313"/>
      <c r="F2231" s="314"/>
    </row>
    <row r="2232" spans="1:6">
      <c r="A2232" s="314"/>
      <c r="B2232" s="314"/>
      <c r="C2232" s="314"/>
      <c r="D2232" s="314"/>
      <c r="E2232" s="313"/>
      <c r="F2232" s="314"/>
    </row>
    <row r="2233" spans="1:6">
      <c r="A2233" s="314"/>
      <c r="B2233" s="314"/>
      <c r="C2233" s="314"/>
      <c r="D2233" s="314"/>
      <c r="E2233" s="313"/>
      <c r="F2233" s="314"/>
    </row>
    <row r="2234" spans="1:6">
      <c r="A2234" s="314"/>
      <c r="B2234" s="314"/>
      <c r="C2234" s="314"/>
      <c r="D2234" s="314"/>
      <c r="E2234" s="313"/>
      <c r="F2234" s="314"/>
    </row>
    <row r="2235" spans="1:6">
      <c r="A2235" s="314"/>
      <c r="B2235" s="314"/>
      <c r="C2235" s="314"/>
      <c r="D2235" s="314"/>
      <c r="E2235" s="313"/>
      <c r="F2235" s="314"/>
    </row>
    <row r="2236" spans="1:6">
      <c r="A2236" s="314"/>
      <c r="B2236" s="314"/>
      <c r="C2236" s="314"/>
      <c r="D2236" s="314"/>
      <c r="E2236" s="313"/>
      <c r="F2236" s="314"/>
    </row>
    <row r="2237" spans="1:6">
      <c r="A2237" s="314"/>
      <c r="B2237" s="314"/>
      <c r="C2237" s="314"/>
      <c r="D2237" s="314"/>
      <c r="E2237" s="313"/>
      <c r="F2237" s="314"/>
    </row>
    <row r="2238" spans="1:6">
      <c r="A2238" s="314"/>
      <c r="B2238" s="314"/>
      <c r="C2238" s="314"/>
      <c r="D2238" s="314"/>
      <c r="E2238" s="313"/>
      <c r="F2238" s="314"/>
    </row>
    <row r="2239" spans="1:6">
      <c r="A2239" s="314"/>
      <c r="B2239" s="314"/>
      <c r="C2239" s="314"/>
      <c r="D2239" s="314"/>
      <c r="E2239" s="313"/>
      <c r="F2239" s="314"/>
    </row>
    <row r="2240" spans="1:6">
      <c r="A2240" s="314"/>
      <c r="B2240" s="314"/>
      <c r="C2240" s="314"/>
      <c r="D2240" s="314"/>
      <c r="E2240" s="313"/>
      <c r="F2240" s="314"/>
    </row>
    <row r="2241" spans="1:6">
      <c r="A2241" s="314"/>
      <c r="B2241" s="314"/>
      <c r="C2241" s="314"/>
      <c r="D2241" s="314"/>
      <c r="E2241" s="313"/>
      <c r="F2241" s="314"/>
    </row>
    <row r="2242" spans="1:6">
      <c r="A2242" s="314"/>
      <c r="B2242" s="314"/>
      <c r="C2242" s="314"/>
      <c r="D2242" s="314"/>
      <c r="E2242" s="313"/>
      <c r="F2242" s="314"/>
    </row>
    <row r="2243" spans="1:6">
      <c r="A2243" s="314"/>
      <c r="B2243" s="314"/>
      <c r="C2243" s="314"/>
      <c r="D2243" s="314"/>
      <c r="E2243" s="313"/>
      <c r="F2243" s="314"/>
    </row>
    <row r="2244" spans="1:6">
      <c r="A2244" s="314"/>
      <c r="B2244" s="314"/>
      <c r="C2244" s="314"/>
      <c r="D2244" s="314"/>
      <c r="E2244" s="313"/>
      <c r="F2244" s="314"/>
    </row>
    <row r="2245" spans="1:6">
      <c r="A2245" s="314"/>
      <c r="B2245" s="314"/>
      <c r="C2245" s="314"/>
      <c r="D2245" s="314"/>
      <c r="E2245" s="313"/>
      <c r="F2245" s="314"/>
    </row>
    <row r="2246" spans="1:6">
      <c r="A2246" s="314"/>
      <c r="B2246" s="314"/>
      <c r="C2246" s="314"/>
      <c r="D2246" s="314"/>
      <c r="E2246" s="313"/>
      <c r="F2246" s="314"/>
    </row>
    <row r="2247" spans="1:6">
      <c r="A2247" s="314"/>
      <c r="B2247" s="314"/>
      <c r="C2247" s="314"/>
      <c r="D2247" s="314"/>
      <c r="E2247" s="313"/>
      <c r="F2247" s="314"/>
    </row>
    <row r="2248" spans="1:6">
      <c r="A2248" s="314"/>
      <c r="B2248" s="314"/>
      <c r="C2248" s="314"/>
      <c r="D2248" s="314"/>
      <c r="E2248" s="313"/>
      <c r="F2248" s="314"/>
    </row>
    <row r="2249" spans="1:6">
      <c r="A2249" s="314"/>
      <c r="B2249" s="314"/>
      <c r="C2249" s="314"/>
      <c r="D2249" s="314"/>
      <c r="E2249" s="313"/>
      <c r="F2249" s="314"/>
    </row>
    <row r="2250" spans="1:6">
      <c r="A2250" s="314"/>
      <c r="B2250" s="314"/>
      <c r="C2250" s="314"/>
      <c r="D2250" s="314"/>
      <c r="E2250" s="313"/>
      <c r="F2250" s="314"/>
    </row>
    <row r="2251" spans="1:6">
      <c r="A2251" s="314"/>
      <c r="B2251" s="314"/>
      <c r="C2251" s="314"/>
      <c r="D2251" s="314"/>
      <c r="E2251" s="313"/>
      <c r="F2251" s="314"/>
    </row>
    <row r="2252" spans="1:6">
      <c r="A2252" s="314"/>
      <c r="B2252" s="314"/>
      <c r="C2252" s="314"/>
      <c r="D2252" s="314"/>
      <c r="E2252" s="313"/>
      <c r="F2252" s="314"/>
    </row>
    <row r="2253" spans="1:6">
      <c r="A2253" s="314"/>
      <c r="B2253" s="314"/>
      <c r="C2253" s="314"/>
      <c r="D2253" s="314"/>
      <c r="E2253" s="313"/>
      <c r="F2253" s="314"/>
    </row>
    <row r="2254" spans="1:6">
      <c r="A2254" s="314"/>
      <c r="B2254" s="314"/>
      <c r="C2254" s="314"/>
      <c r="D2254" s="314"/>
      <c r="E2254" s="313"/>
      <c r="F2254" s="314"/>
    </row>
    <row r="2255" spans="1:6">
      <c r="A2255" s="314"/>
      <c r="B2255" s="314"/>
      <c r="C2255" s="314"/>
      <c r="D2255" s="314"/>
      <c r="E2255" s="313"/>
      <c r="F2255" s="314"/>
    </row>
    <row r="2256" spans="1:6">
      <c r="A2256" s="314"/>
      <c r="B2256" s="314"/>
      <c r="C2256" s="314"/>
      <c r="D2256" s="314"/>
      <c r="E2256" s="313"/>
      <c r="F2256" s="314"/>
    </row>
    <row r="2257" spans="1:6">
      <c r="A2257" s="314"/>
      <c r="B2257" s="314"/>
      <c r="C2257" s="314"/>
      <c r="D2257" s="314"/>
      <c r="E2257" s="313"/>
      <c r="F2257" s="314"/>
    </row>
    <row r="2258" spans="1:6">
      <c r="A2258" s="314"/>
      <c r="B2258" s="314"/>
      <c r="C2258" s="314"/>
      <c r="D2258" s="314"/>
      <c r="E2258" s="313"/>
      <c r="F2258" s="314"/>
    </row>
    <row r="2259" spans="1:6">
      <c r="A2259" s="314"/>
      <c r="B2259" s="314"/>
      <c r="C2259" s="314"/>
      <c r="D2259" s="314"/>
      <c r="E2259" s="313"/>
      <c r="F2259" s="314"/>
    </row>
    <row r="2260" spans="1:6">
      <c r="A2260" s="314"/>
      <c r="B2260" s="314"/>
      <c r="C2260" s="314"/>
      <c r="D2260" s="314"/>
      <c r="E2260" s="313"/>
      <c r="F2260" s="314"/>
    </row>
    <row r="2261" spans="1:6">
      <c r="A2261" s="314"/>
      <c r="B2261" s="314"/>
      <c r="C2261" s="314"/>
      <c r="D2261" s="314"/>
      <c r="E2261" s="313"/>
      <c r="F2261" s="314"/>
    </row>
    <row r="2262" spans="1:6">
      <c r="A2262" s="314"/>
      <c r="B2262" s="314"/>
      <c r="C2262" s="314"/>
      <c r="D2262" s="314"/>
      <c r="E2262" s="313"/>
      <c r="F2262" s="314"/>
    </row>
    <row r="2263" spans="1:6">
      <c r="A2263" s="314"/>
      <c r="B2263" s="314"/>
      <c r="C2263" s="314"/>
      <c r="D2263" s="314"/>
      <c r="E2263" s="313"/>
      <c r="F2263" s="314"/>
    </row>
    <row r="2264" spans="1:6">
      <c r="A2264" s="314"/>
      <c r="B2264" s="314"/>
      <c r="C2264" s="314"/>
      <c r="D2264" s="314"/>
      <c r="E2264" s="313"/>
      <c r="F2264" s="314"/>
    </row>
    <row r="2265" spans="1:6">
      <c r="A2265" s="314"/>
      <c r="B2265" s="314"/>
      <c r="C2265" s="314"/>
      <c r="D2265" s="314"/>
      <c r="E2265" s="313"/>
      <c r="F2265" s="314"/>
    </row>
    <row r="2266" spans="1:6">
      <c r="A2266" s="314"/>
      <c r="B2266" s="314"/>
      <c r="C2266" s="314"/>
      <c r="D2266" s="314"/>
      <c r="E2266" s="313"/>
      <c r="F2266" s="314"/>
    </row>
    <row r="2267" spans="1:6">
      <c r="A2267" s="314"/>
      <c r="B2267" s="314"/>
      <c r="C2267" s="314"/>
      <c r="D2267" s="314"/>
      <c r="E2267" s="313"/>
      <c r="F2267" s="314"/>
    </row>
    <row r="2268" spans="1:6">
      <c r="A2268" s="314"/>
      <c r="B2268" s="314"/>
      <c r="C2268" s="314"/>
      <c r="D2268" s="314"/>
      <c r="E2268" s="313"/>
      <c r="F2268" s="314"/>
    </row>
    <row r="2269" spans="1:6">
      <c r="A2269" s="314"/>
      <c r="B2269" s="314"/>
      <c r="C2269" s="314"/>
      <c r="D2269" s="314"/>
      <c r="E2269" s="313"/>
      <c r="F2269" s="314"/>
    </row>
    <row r="2270" spans="1:6">
      <c r="A2270" s="314"/>
      <c r="B2270" s="314"/>
      <c r="C2270" s="314"/>
      <c r="D2270" s="314"/>
      <c r="E2270" s="313"/>
      <c r="F2270" s="314"/>
    </row>
    <row r="2271" spans="1:6">
      <c r="A2271" s="314"/>
      <c r="B2271" s="314"/>
      <c r="C2271" s="314"/>
      <c r="D2271" s="314"/>
      <c r="E2271" s="313"/>
      <c r="F2271" s="314"/>
    </row>
    <row r="2272" spans="1:6">
      <c r="A2272" s="314"/>
      <c r="B2272" s="314"/>
      <c r="C2272" s="314"/>
      <c r="D2272" s="314"/>
      <c r="E2272" s="313"/>
      <c r="F2272" s="314"/>
    </row>
    <row r="2273" spans="1:6">
      <c r="A2273" s="314"/>
      <c r="B2273" s="314"/>
      <c r="C2273" s="314"/>
      <c r="D2273" s="314"/>
      <c r="E2273" s="313"/>
      <c r="F2273" s="314"/>
    </row>
    <row r="2274" spans="1:6">
      <c r="A2274" s="314"/>
      <c r="B2274" s="314"/>
      <c r="C2274" s="314"/>
      <c r="D2274" s="314"/>
      <c r="E2274" s="313"/>
      <c r="F2274" s="314"/>
    </row>
    <row r="2275" spans="1:6">
      <c r="A2275" s="314"/>
      <c r="B2275" s="314"/>
      <c r="C2275" s="314"/>
      <c r="D2275" s="314"/>
      <c r="E2275" s="313"/>
      <c r="F2275" s="314"/>
    </row>
    <row r="2276" spans="1:6">
      <c r="A2276" s="314"/>
      <c r="B2276" s="314"/>
      <c r="C2276" s="314"/>
      <c r="D2276" s="314"/>
      <c r="E2276" s="313"/>
      <c r="F2276" s="314"/>
    </row>
    <row r="2277" spans="1:6">
      <c r="A2277" s="314"/>
      <c r="B2277" s="314"/>
      <c r="C2277" s="314"/>
      <c r="D2277" s="314"/>
      <c r="E2277" s="313"/>
      <c r="F2277" s="314"/>
    </row>
    <row r="2278" spans="1:6">
      <c r="A2278" s="314"/>
      <c r="B2278" s="314"/>
      <c r="C2278" s="314"/>
      <c r="D2278" s="314"/>
      <c r="E2278" s="313"/>
      <c r="F2278" s="314"/>
    </row>
    <row r="2279" spans="1:6">
      <c r="A2279" s="314"/>
      <c r="B2279" s="314"/>
      <c r="C2279" s="314"/>
      <c r="D2279" s="314"/>
      <c r="E2279" s="313"/>
      <c r="F2279" s="314"/>
    </row>
    <row r="2280" spans="1:6">
      <c r="A2280" s="314"/>
      <c r="B2280" s="314"/>
      <c r="C2280" s="314"/>
      <c r="D2280" s="314"/>
      <c r="E2280" s="313"/>
      <c r="F2280" s="314"/>
    </row>
    <row r="2281" spans="1:6">
      <c r="A2281" s="314"/>
      <c r="B2281" s="314"/>
      <c r="C2281" s="314"/>
      <c r="D2281" s="314"/>
      <c r="E2281" s="313"/>
      <c r="F2281" s="314"/>
    </row>
    <row r="2282" spans="1:6">
      <c r="A2282" s="314"/>
      <c r="B2282" s="314"/>
      <c r="C2282" s="314"/>
      <c r="D2282" s="314"/>
      <c r="E2282" s="313"/>
      <c r="F2282" s="314"/>
    </row>
    <row r="2283" spans="1:6">
      <c r="A2283" s="314"/>
      <c r="B2283" s="314"/>
      <c r="C2283" s="314"/>
      <c r="D2283" s="314"/>
      <c r="E2283" s="313"/>
      <c r="F2283" s="314"/>
    </row>
    <row r="2284" spans="1:6">
      <c r="A2284" s="314"/>
      <c r="B2284" s="314"/>
      <c r="C2284" s="314"/>
      <c r="D2284" s="314"/>
      <c r="E2284" s="313"/>
      <c r="F2284" s="314"/>
    </row>
    <row r="2285" spans="1:6">
      <c r="A2285" s="314"/>
      <c r="B2285" s="314"/>
      <c r="C2285" s="314"/>
      <c r="D2285" s="314"/>
      <c r="E2285" s="313"/>
      <c r="F2285" s="314"/>
    </row>
    <row r="2286" spans="1:6">
      <c r="A2286" s="314"/>
      <c r="B2286" s="314"/>
      <c r="C2286" s="314"/>
      <c r="D2286" s="314"/>
      <c r="E2286" s="313"/>
      <c r="F2286" s="314"/>
    </row>
    <row r="2287" spans="1:6">
      <c r="A2287" s="314"/>
      <c r="B2287" s="314"/>
      <c r="C2287" s="314"/>
      <c r="D2287" s="314"/>
      <c r="E2287" s="313"/>
      <c r="F2287" s="314"/>
    </row>
    <row r="2288" spans="1:6">
      <c r="A2288" s="314"/>
      <c r="B2288" s="314"/>
      <c r="C2288" s="314"/>
      <c r="D2288" s="314"/>
      <c r="E2288" s="313"/>
      <c r="F2288" s="314"/>
    </row>
    <row r="2289" spans="1:6">
      <c r="A2289" s="314"/>
      <c r="B2289" s="314"/>
      <c r="C2289" s="314"/>
      <c r="D2289" s="314"/>
      <c r="E2289" s="313"/>
      <c r="F2289" s="314"/>
    </row>
    <row r="2290" spans="1:6">
      <c r="A2290" s="314"/>
      <c r="B2290" s="314"/>
      <c r="C2290" s="314"/>
      <c r="D2290" s="314"/>
      <c r="E2290" s="313"/>
      <c r="F2290" s="314"/>
    </row>
    <row r="2291" spans="1:6">
      <c r="A2291" s="314"/>
      <c r="B2291" s="314"/>
      <c r="C2291" s="314"/>
      <c r="D2291" s="314"/>
      <c r="E2291" s="313"/>
      <c r="F2291" s="314"/>
    </row>
    <row r="2292" spans="1:6">
      <c r="A2292" s="314"/>
      <c r="B2292" s="314"/>
      <c r="C2292" s="314"/>
      <c r="D2292" s="314"/>
      <c r="E2292" s="313"/>
      <c r="F2292" s="314"/>
    </row>
    <row r="2293" spans="1:6">
      <c r="A2293" s="314"/>
      <c r="B2293" s="314"/>
      <c r="C2293" s="314"/>
      <c r="D2293" s="314"/>
      <c r="E2293" s="313"/>
      <c r="F2293" s="314"/>
    </row>
    <row r="2294" spans="1:6">
      <c r="A2294" s="314"/>
      <c r="B2294" s="314"/>
      <c r="C2294" s="314"/>
      <c r="D2294" s="314"/>
      <c r="E2294" s="313"/>
      <c r="F2294" s="314"/>
    </row>
    <row r="2295" spans="1:6">
      <c r="A2295" s="314"/>
      <c r="B2295" s="314"/>
      <c r="C2295" s="314"/>
      <c r="D2295" s="314"/>
      <c r="E2295" s="313"/>
      <c r="F2295" s="314"/>
    </row>
    <row r="2296" spans="1:6">
      <c r="A2296" s="314"/>
      <c r="B2296" s="314"/>
      <c r="C2296" s="314"/>
      <c r="D2296" s="314"/>
      <c r="E2296" s="313"/>
      <c r="F2296" s="314"/>
    </row>
    <row r="2297" spans="1:6">
      <c r="A2297" s="314"/>
      <c r="B2297" s="314"/>
      <c r="C2297" s="314"/>
      <c r="D2297" s="314"/>
      <c r="E2297" s="313"/>
      <c r="F2297" s="314"/>
    </row>
    <row r="2298" spans="1:6">
      <c r="A2298" s="314"/>
      <c r="B2298" s="314"/>
      <c r="C2298" s="314"/>
      <c r="D2298" s="314"/>
      <c r="E2298" s="313"/>
      <c r="F2298" s="314"/>
    </row>
    <row r="2299" spans="1:6">
      <c r="A2299" s="314"/>
      <c r="B2299" s="314"/>
      <c r="C2299" s="314"/>
      <c r="D2299" s="314"/>
      <c r="E2299" s="313"/>
      <c r="F2299" s="314"/>
    </row>
    <row r="2300" spans="1:6">
      <c r="A2300" s="314"/>
      <c r="B2300" s="314"/>
      <c r="C2300" s="314"/>
      <c r="D2300" s="314"/>
      <c r="E2300" s="313"/>
      <c r="F2300" s="314"/>
    </row>
    <row r="2301" spans="1:6">
      <c r="A2301" s="314"/>
      <c r="B2301" s="314"/>
      <c r="C2301" s="314"/>
      <c r="D2301" s="314"/>
      <c r="E2301" s="313"/>
      <c r="F2301" s="314"/>
    </row>
    <row r="2302" spans="1:6">
      <c r="A2302" s="314"/>
      <c r="B2302" s="314"/>
      <c r="C2302" s="314"/>
      <c r="D2302" s="314"/>
      <c r="E2302" s="313"/>
      <c r="F2302" s="314"/>
    </row>
    <row r="2303" spans="1:6">
      <c r="A2303" s="314"/>
      <c r="B2303" s="314"/>
      <c r="C2303" s="314"/>
      <c r="D2303" s="314"/>
      <c r="E2303" s="313"/>
      <c r="F2303" s="314"/>
    </row>
    <row r="2304" spans="1:6">
      <c r="A2304" s="314"/>
      <c r="B2304" s="314"/>
      <c r="C2304" s="314"/>
      <c r="D2304" s="314"/>
      <c r="E2304" s="313"/>
      <c r="F2304" s="314"/>
    </row>
    <row r="2305" spans="1:6">
      <c r="A2305" s="314"/>
      <c r="B2305" s="314"/>
      <c r="C2305" s="314"/>
      <c r="D2305" s="314"/>
      <c r="E2305" s="313"/>
      <c r="F2305" s="314"/>
    </row>
    <row r="2306" spans="1:6">
      <c r="A2306" s="314"/>
      <c r="B2306" s="314"/>
      <c r="C2306" s="314"/>
      <c r="D2306" s="314"/>
      <c r="E2306" s="313"/>
      <c r="F2306" s="314"/>
    </row>
    <row r="2307" spans="1:6">
      <c r="A2307" s="314"/>
      <c r="B2307" s="314"/>
      <c r="C2307" s="314"/>
      <c r="D2307" s="314"/>
      <c r="E2307" s="313"/>
      <c r="F2307" s="314"/>
    </row>
    <row r="2308" spans="1:6">
      <c r="A2308" s="314"/>
      <c r="B2308" s="314"/>
      <c r="C2308" s="314"/>
      <c r="D2308" s="314"/>
      <c r="E2308" s="313"/>
      <c r="F2308" s="314"/>
    </row>
    <row r="2309" spans="1:6">
      <c r="A2309" s="314"/>
      <c r="B2309" s="314"/>
      <c r="C2309" s="314"/>
      <c r="D2309" s="314"/>
      <c r="E2309" s="313"/>
      <c r="F2309" s="314"/>
    </row>
    <row r="2310" spans="1:6">
      <c r="A2310" s="314"/>
      <c r="B2310" s="314"/>
      <c r="C2310" s="314"/>
      <c r="D2310" s="314"/>
      <c r="E2310" s="313"/>
      <c r="F2310" s="314"/>
    </row>
    <row r="2311" spans="1:6">
      <c r="A2311" s="314"/>
      <c r="B2311" s="314"/>
      <c r="C2311" s="314"/>
      <c r="D2311" s="314"/>
      <c r="E2311" s="313"/>
      <c r="F2311" s="314"/>
    </row>
    <row r="2312" spans="1:6">
      <c r="A2312" s="314"/>
      <c r="B2312" s="314"/>
      <c r="C2312" s="314"/>
      <c r="D2312" s="314"/>
      <c r="E2312" s="313"/>
      <c r="F2312" s="314"/>
    </row>
    <row r="2313" spans="1:6">
      <c r="A2313" s="314"/>
      <c r="B2313" s="314"/>
      <c r="C2313" s="314"/>
      <c r="D2313" s="314"/>
      <c r="E2313" s="313"/>
      <c r="F2313" s="314"/>
    </row>
    <row r="2314" spans="1:6">
      <c r="A2314" s="314"/>
      <c r="B2314" s="314"/>
      <c r="C2314" s="314"/>
      <c r="D2314" s="314"/>
      <c r="E2314" s="313"/>
      <c r="F2314" s="314"/>
    </row>
  </sheetData>
  <sheetProtection formatCells="0" formatColumns="0" formatRows="0" insertColumns="0" insertRows="0" insertHyperlinks="0" deleteColumns="0" deleteRows="0" sort="0" autoFilter="0" pivotTables="0"/>
  <pageMargins left="0.75" right="0.75" top="1" bottom="1" header="0.5" footer="0.5"/>
  <pageSetup paperSize="9" scale="68" orientation="portrait" horizontalDpi="200" verticalDpi="300"/>
  <headerFooter alignWithMargins="0"/>
  <rowBreaks count="3" manualBreakCount="3">
    <brk id="35" max="16383" man="1"/>
    <brk id="96" max="16383" man="1"/>
    <brk id="178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Q19"/>
  <sheetViews>
    <sheetView workbookViewId="0">
      <selection activeCell="B21" sqref="B21"/>
    </sheetView>
  </sheetViews>
  <sheetFormatPr defaultColWidth="8.69921875" defaultRowHeight="15.6"/>
  <cols>
    <col min="1" max="1" width="41.19921875" customWidth="1"/>
    <col min="2" max="2" width="30.3984375" customWidth="1"/>
    <col min="3" max="3" width="28.59765625" customWidth="1"/>
    <col min="4" max="4" width="23.59765625" customWidth="1"/>
    <col min="5" max="6" width="15.09765625" customWidth="1"/>
    <col min="7" max="7" width="18.296875" customWidth="1"/>
    <col min="8" max="8" width="17.69921875" customWidth="1"/>
    <col min="10" max="10" width="22.5" customWidth="1"/>
    <col min="11" max="11" width="21" customWidth="1"/>
    <col min="12" max="12" width="20.09765625" customWidth="1"/>
    <col min="17" max="17" width="28.3984375" customWidth="1"/>
  </cols>
  <sheetData>
    <row r="1" spans="1:17">
      <c r="A1" s="266" t="s">
        <v>396</v>
      </c>
      <c r="B1" s="266" t="s">
        <v>397</v>
      </c>
      <c r="C1" s="266" t="s">
        <v>398</v>
      </c>
      <c r="D1" s="266" t="s">
        <v>399</v>
      </c>
      <c r="E1" s="266" t="s">
        <v>400</v>
      </c>
      <c r="F1" s="266" t="s">
        <v>401</v>
      </c>
      <c r="G1" s="266" t="s">
        <v>402</v>
      </c>
      <c r="H1" s="266" t="s">
        <v>403</v>
      </c>
      <c r="I1" s="266" t="s">
        <v>404</v>
      </c>
      <c r="J1" s="266" t="s">
        <v>405</v>
      </c>
      <c r="K1" s="266" t="s">
        <v>406</v>
      </c>
      <c r="L1" s="266" t="s">
        <v>407</v>
      </c>
      <c r="M1" s="266" t="s">
        <v>408</v>
      </c>
      <c r="N1" s="266" t="s">
        <v>409</v>
      </c>
      <c r="O1" s="266" t="s">
        <v>410</v>
      </c>
      <c r="P1" s="266" t="s">
        <v>411</v>
      </c>
      <c r="Q1" s="266" t="s">
        <v>412</v>
      </c>
    </row>
    <row r="2" spans="1:17">
      <c r="A2" t="s">
        <v>413</v>
      </c>
      <c r="B2" t="s">
        <v>414</v>
      </c>
      <c r="C2" t="s">
        <v>415</v>
      </c>
      <c r="D2" t="s">
        <v>416</v>
      </c>
      <c r="E2" t="s">
        <v>417</v>
      </c>
      <c r="F2" t="s">
        <v>418</v>
      </c>
      <c r="G2" t="s">
        <v>419</v>
      </c>
      <c r="H2" t="s">
        <v>419</v>
      </c>
      <c r="I2" t="s">
        <v>417</v>
      </c>
      <c r="J2" t="s">
        <v>420</v>
      </c>
      <c r="K2" t="s">
        <v>421</v>
      </c>
      <c r="L2" t="s">
        <v>422</v>
      </c>
    </row>
    <row r="3" spans="1:17">
      <c r="A3" t="s">
        <v>423</v>
      </c>
      <c r="B3" t="s">
        <v>424</v>
      </c>
      <c r="C3" t="s">
        <v>425</v>
      </c>
      <c r="D3" t="s">
        <v>426</v>
      </c>
      <c r="E3" t="s">
        <v>427</v>
      </c>
      <c r="F3" t="s">
        <v>428</v>
      </c>
      <c r="G3" t="s">
        <v>429</v>
      </c>
      <c r="H3" t="s">
        <v>429</v>
      </c>
      <c r="I3" t="s">
        <v>430</v>
      </c>
      <c r="J3" t="s">
        <v>431</v>
      </c>
      <c r="K3" t="s">
        <v>432</v>
      </c>
      <c r="L3" t="s">
        <v>433</v>
      </c>
    </row>
    <row r="4" spans="1:17">
      <c r="A4" t="s">
        <v>434</v>
      </c>
      <c r="B4" t="s">
        <v>435</v>
      </c>
      <c r="C4" t="s">
        <v>436</v>
      </c>
      <c r="D4" t="s">
        <v>437</v>
      </c>
      <c r="H4" t="s">
        <v>438</v>
      </c>
      <c r="J4" t="s">
        <v>439</v>
      </c>
      <c r="K4" t="s">
        <v>440</v>
      </c>
    </row>
    <row r="5" spans="1:17">
      <c r="A5" s="267" t="s">
        <v>441</v>
      </c>
      <c r="C5" s="267" t="s">
        <v>442</v>
      </c>
    </row>
    <row r="19" spans="1:2">
      <c r="A19" s="267"/>
      <c r="B19" s="267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B050"/>
  </sheetPr>
  <dimension ref="A1:T46"/>
  <sheetViews>
    <sheetView tabSelected="1" topLeftCell="A8" zoomScale="77" zoomScaleNormal="55" zoomScaleSheetLayoutView="55" workbookViewId="0">
      <selection activeCell="L10" sqref="L10"/>
    </sheetView>
  </sheetViews>
  <sheetFormatPr defaultColWidth="9" defaultRowHeight="15.6"/>
  <cols>
    <col min="1" max="1" width="7.59765625" style="185" customWidth="1"/>
    <col min="2" max="2" width="31.69921875" style="185" customWidth="1"/>
    <col min="3" max="4" width="20.09765625" style="185" customWidth="1"/>
    <col min="5" max="5" width="7.59765625" style="185" customWidth="1"/>
    <col min="6" max="6" width="38.69921875" style="185" customWidth="1"/>
    <col min="7" max="9" width="18.19921875" style="185" customWidth="1"/>
    <col min="10" max="10" width="9.59765625" style="185" customWidth="1"/>
    <col min="11" max="11" width="9" style="185"/>
    <col min="12" max="12" width="30.796875" style="185" customWidth="1"/>
    <col min="13" max="13" width="43.296875" style="185" customWidth="1"/>
    <col min="14" max="14" width="47" style="185" customWidth="1"/>
    <col min="15" max="15" width="45" style="185" customWidth="1"/>
    <col min="16" max="16" width="39.796875" style="185" customWidth="1"/>
    <col min="17" max="18" width="36.3984375" style="185" customWidth="1"/>
    <col min="19" max="19" width="25.69921875" style="185" customWidth="1"/>
    <col min="20" max="20" width="20.59765625" style="185" customWidth="1"/>
    <col min="21" max="16384" width="9" style="185"/>
  </cols>
  <sheetData>
    <row r="1" spans="1:20" ht="42.75" customHeight="1">
      <c r="A1" s="186"/>
      <c r="B1" s="186"/>
      <c r="C1" s="333" t="s">
        <v>443</v>
      </c>
      <c r="D1" s="333"/>
      <c r="E1" s="333"/>
      <c r="F1" s="333"/>
      <c r="G1" s="333"/>
      <c r="H1" s="186"/>
      <c r="I1" s="186"/>
      <c r="J1" s="187"/>
      <c r="L1" s="235" t="s">
        <v>444</v>
      </c>
      <c r="M1" s="236" t="s">
        <v>445</v>
      </c>
      <c r="N1" s="237" t="s">
        <v>446</v>
      </c>
      <c r="O1" s="236" t="s">
        <v>447</v>
      </c>
      <c r="R1" s="239"/>
    </row>
    <row r="2" spans="1:20" ht="30" customHeight="1">
      <c r="A2" s="187"/>
      <c r="B2" s="188"/>
      <c r="C2" s="188"/>
      <c r="D2" s="188"/>
      <c r="E2" s="188"/>
      <c r="F2" s="188"/>
      <c r="G2" s="188"/>
      <c r="H2" s="189"/>
      <c r="I2" s="189"/>
      <c r="J2" s="187"/>
      <c r="L2" s="235" t="s">
        <v>700</v>
      </c>
      <c r="M2" s="236" t="s">
        <v>448</v>
      </c>
      <c r="N2" s="235" t="s">
        <v>449</v>
      </c>
      <c r="O2" s="238" t="s">
        <v>450</v>
      </c>
      <c r="P2" s="239"/>
      <c r="Q2" s="239"/>
      <c r="R2" s="239"/>
    </row>
    <row r="3" spans="1:20" ht="30.6">
      <c r="A3" s="190"/>
      <c r="B3" s="191"/>
      <c r="C3" s="334" t="s">
        <v>451</v>
      </c>
      <c r="D3" s="334"/>
      <c r="E3" s="334"/>
      <c r="F3" s="334"/>
      <c r="G3" s="334"/>
      <c r="H3" s="192"/>
      <c r="I3" s="192"/>
      <c r="J3" s="240"/>
      <c r="K3"/>
      <c r="L3" s="241" t="s">
        <v>452</v>
      </c>
      <c r="M3" s="236" t="s">
        <v>453</v>
      </c>
      <c r="N3" s="237" t="s">
        <v>454</v>
      </c>
      <c r="O3" s="236" t="s">
        <v>455</v>
      </c>
      <c r="Q3" s="239"/>
      <c r="R3" s="239"/>
      <c r="S3" s="239"/>
      <c r="T3" s="239"/>
    </row>
    <row r="4" spans="1:20" ht="30" customHeight="1">
      <c r="A4" s="193"/>
      <c r="B4" s="194"/>
      <c r="C4" s="335" t="s">
        <v>456</v>
      </c>
      <c r="D4" s="335"/>
      <c r="E4" s="335"/>
      <c r="F4" s="335"/>
      <c r="G4" s="335"/>
      <c r="H4" s="192"/>
      <c r="I4" s="192"/>
      <c r="J4" s="240"/>
      <c r="K4"/>
      <c r="L4" s="241" t="s">
        <v>457</v>
      </c>
      <c r="M4" s="236">
        <v>453.55</v>
      </c>
      <c r="N4" s="237" t="s">
        <v>458</v>
      </c>
      <c r="O4" s="236">
        <v>453</v>
      </c>
      <c r="Q4" s="239"/>
      <c r="R4" s="239"/>
      <c r="S4" s="239"/>
      <c r="T4" s="239"/>
    </row>
    <row r="5" spans="1:20" ht="14.25" customHeight="1">
      <c r="A5" s="187"/>
      <c r="B5" s="187"/>
      <c r="C5" s="187"/>
      <c r="D5" s="187"/>
      <c r="E5" s="187"/>
      <c r="G5" s="187"/>
      <c r="H5" s="192"/>
      <c r="I5" s="192"/>
      <c r="J5" s="187"/>
      <c r="K5"/>
      <c r="L5" s="242"/>
      <c r="M5" s="242"/>
      <c r="N5" s="239"/>
      <c r="O5" s="243"/>
      <c r="P5" s="243"/>
      <c r="Q5" s="239"/>
      <c r="R5" s="239"/>
      <c r="S5" s="239"/>
      <c r="T5" s="239"/>
    </row>
    <row r="6" spans="1:20" ht="20.25" customHeight="1">
      <c r="A6" s="339" t="s">
        <v>459</v>
      </c>
      <c r="B6" s="340" t="s">
        <v>460</v>
      </c>
      <c r="C6" s="342"/>
      <c r="D6" s="343"/>
      <c r="E6" s="342" t="s">
        <v>461</v>
      </c>
      <c r="G6" s="342" t="s">
        <v>699</v>
      </c>
      <c r="I6" s="244"/>
      <c r="J6" s="245"/>
      <c r="P6" s="315"/>
      <c r="Q6" s="315"/>
      <c r="R6" s="315"/>
      <c r="S6" s="315"/>
      <c r="T6" s="263"/>
    </row>
    <row r="7" spans="1:20" ht="20.25" customHeight="1">
      <c r="A7" s="339"/>
      <c r="B7" s="341"/>
      <c r="C7" s="339"/>
      <c r="D7" s="344"/>
      <c r="E7" s="339"/>
      <c r="F7" s="195" t="s">
        <v>397</v>
      </c>
      <c r="G7" s="339"/>
      <c r="H7" s="196" t="s">
        <v>462</v>
      </c>
      <c r="I7" s="246"/>
      <c r="J7" s="245"/>
      <c r="P7" s="315"/>
      <c r="Q7" s="315"/>
      <c r="R7" s="315"/>
      <c r="S7" s="315"/>
      <c r="T7" s="263"/>
    </row>
    <row r="8" spans="1:20" ht="22.5" customHeight="1">
      <c r="A8" s="197"/>
      <c r="B8" s="187"/>
      <c r="C8" s="187"/>
      <c r="D8" s="187"/>
      <c r="E8" s="187"/>
      <c r="F8" s="187"/>
      <c r="G8" s="187"/>
      <c r="H8" s="336"/>
      <c r="I8" s="336"/>
      <c r="J8" s="187"/>
      <c r="P8" s="247"/>
      <c r="Q8" s="247"/>
      <c r="R8" s="247"/>
      <c r="S8" s="264"/>
      <c r="T8" s="243"/>
    </row>
    <row r="9" spans="1:20" ht="35.25" customHeight="1">
      <c r="A9" s="321" t="s">
        <v>701</v>
      </c>
      <c r="B9" s="322"/>
      <c r="C9" s="322"/>
      <c r="D9" s="323"/>
      <c r="E9" s="321" t="s">
        <v>702</v>
      </c>
      <c r="F9" s="337"/>
      <c r="G9" s="337"/>
      <c r="H9" s="337"/>
      <c r="I9" s="338"/>
      <c r="J9" s="248"/>
      <c r="P9" s="247"/>
      <c r="Q9" s="264"/>
      <c r="R9" s="264"/>
      <c r="S9" s="264"/>
      <c r="T9" s="316"/>
    </row>
    <row r="10" spans="1:20" ht="60" customHeight="1">
      <c r="A10" s="198" t="s">
        <v>463</v>
      </c>
      <c r="B10" s="199" t="s">
        <v>464</v>
      </c>
      <c r="C10" s="199" t="s">
        <v>465</v>
      </c>
      <c r="D10" s="199" t="s">
        <v>466</v>
      </c>
      <c r="E10" s="200" t="s">
        <v>467</v>
      </c>
      <c r="F10" s="330" t="s">
        <v>468</v>
      </c>
      <c r="G10" s="331"/>
      <c r="H10" s="199" t="s">
        <v>469</v>
      </c>
      <c r="I10" s="220" t="s">
        <v>470</v>
      </c>
      <c r="J10" s="249"/>
      <c r="L10" s="250"/>
      <c r="M10" s="247"/>
      <c r="N10" s="247"/>
      <c r="O10" s="247"/>
      <c r="P10" s="247"/>
      <c r="Q10" s="264"/>
      <c r="R10" s="264"/>
      <c r="S10" s="264"/>
      <c r="T10" s="316"/>
    </row>
    <row r="11" spans="1:20" ht="32.25" customHeight="1">
      <c r="A11" s="201">
        <v>1</v>
      </c>
      <c r="B11" s="202" t="s">
        <v>471</v>
      </c>
      <c r="C11" s="203">
        <v>6483</v>
      </c>
      <c r="D11" s="204" t="str">
        <f>IF(OR(B11=""),"",VLOOKUP(B11,'price and cost sheet'!$C:$D,2,0))</f>
        <v>吨</v>
      </c>
      <c r="E11" s="205">
        <v>1</v>
      </c>
      <c r="F11" s="332" t="s">
        <v>472</v>
      </c>
      <c r="G11" s="329"/>
      <c r="H11" s="206">
        <v>1</v>
      </c>
      <c r="I11" s="251" t="str">
        <f>IF(OR(F11=""),"",VLOOKUP(F11,'price and cost sheet'!$C:$D,2,0))</f>
        <v>只</v>
      </c>
      <c r="J11" s="252"/>
      <c r="L11" s="253"/>
      <c r="M11" s="247"/>
      <c r="N11" s="247"/>
      <c r="O11" s="247"/>
      <c r="P11" s="247"/>
      <c r="Q11" s="264"/>
      <c r="R11" s="264"/>
      <c r="S11" s="264"/>
      <c r="T11" s="265"/>
    </row>
    <row r="12" spans="1:20" ht="32.25" customHeight="1">
      <c r="A12" s="201">
        <v>2</v>
      </c>
      <c r="B12" s="202" t="s">
        <v>473</v>
      </c>
      <c r="C12" s="203">
        <v>2413</v>
      </c>
      <c r="D12" s="207" t="str">
        <f>IF(OR(B12=""),"",VLOOKUP(B12,'price and cost sheet'!$C:$D,2,0))</f>
        <v>KG</v>
      </c>
      <c r="E12" s="201">
        <v>2</v>
      </c>
      <c r="F12" s="328"/>
      <c r="G12" s="329"/>
      <c r="H12" s="206"/>
      <c r="I12" s="254" t="str">
        <f>IF(OR(F12=""),"",VLOOKUP(F12,'price and cost sheet'!$C:$D,2,0))</f>
        <v/>
      </c>
      <c r="J12" s="252"/>
      <c r="L12" s="253"/>
      <c r="M12" s="255"/>
      <c r="N12" s="255"/>
      <c r="O12" s="255"/>
      <c r="P12" s="255"/>
      <c r="Q12" s="264"/>
      <c r="R12" s="264"/>
      <c r="S12" s="264"/>
      <c r="T12" s="265"/>
    </row>
    <row r="13" spans="1:20" ht="32.25" customHeight="1">
      <c r="A13" s="201">
        <v>3</v>
      </c>
      <c r="B13" s="209" t="s">
        <v>474</v>
      </c>
      <c r="C13" s="203">
        <v>5895</v>
      </c>
      <c r="D13" s="207" t="str">
        <f>IF(OR(B13=""),"",VLOOKUP(B13,'price and cost sheet'!$C:$D,2,0))</f>
        <v>KG</v>
      </c>
      <c r="E13" s="205">
        <v>3</v>
      </c>
      <c r="F13" s="328"/>
      <c r="G13" s="329"/>
      <c r="H13" s="206"/>
      <c r="I13" s="254" t="str">
        <f>IF(OR(F13=""),"",VLOOKUP(F13,'price and cost sheet'!$C:$D,2,0))</f>
        <v/>
      </c>
      <c r="J13" s="252"/>
      <c r="L13" s="253"/>
      <c r="M13" s="255"/>
      <c r="N13" s="255"/>
      <c r="O13" s="255"/>
      <c r="P13" s="255"/>
      <c r="Q13" s="264"/>
      <c r="R13" s="264"/>
      <c r="S13" s="264"/>
      <c r="T13" s="265"/>
    </row>
    <row r="14" spans="1:20" ht="32.25" customHeight="1">
      <c r="A14" s="201">
        <v>4</v>
      </c>
      <c r="B14" s="209" t="s">
        <v>709</v>
      </c>
      <c r="C14" s="203">
        <v>390</v>
      </c>
      <c r="D14" s="207" t="str">
        <f>IF(OR(B14=""),"",VLOOKUP(B14,'price and cost sheet'!$C:$D,2,0))</f>
        <v>KG</v>
      </c>
      <c r="E14" s="201">
        <v>4</v>
      </c>
      <c r="F14" s="328"/>
      <c r="G14" s="329"/>
      <c r="H14" s="208"/>
      <c r="I14" s="254" t="str">
        <f>IF(OR(F14=""),"",VLOOKUP(F14,'price and cost sheet'!$C:$D,2,0))</f>
        <v/>
      </c>
      <c r="J14" s="252"/>
      <c r="L14" s="253"/>
      <c r="M14" s="247"/>
      <c r="N14" s="247"/>
      <c r="O14" s="247"/>
      <c r="P14" s="247"/>
      <c r="Q14" s="264"/>
      <c r="R14" s="264"/>
      <c r="S14" s="264"/>
      <c r="T14" s="265"/>
    </row>
    <row r="15" spans="1:20" ht="32.25" customHeight="1">
      <c r="A15" s="201">
        <v>5</v>
      </c>
      <c r="B15" s="202" t="s">
        <v>475</v>
      </c>
      <c r="C15" s="203">
        <v>14905</v>
      </c>
      <c r="D15" s="207" t="str">
        <f>IF(OR(B15=""),"",VLOOKUP(B15,'price and cost sheet'!$C:$D,2,0))</f>
        <v>KG</v>
      </c>
      <c r="E15" s="205">
        <v>5</v>
      </c>
      <c r="F15" s="328"/>
      <c r="G15" s="329"/>
      <c r="H15" s="208"/>
      <c r="I15" s="254" t="str">
        <f>IF(OR(F15=""),"",VLOOKUP(F15,'price and cost sheet'!$C:$D,2,0))</f>
        <v/>
      </c>
      <c r="J15" s="252"/>
      <c r="L15" s="253"/>
      <c r="M15" s="247"/>
      <c r="N15" s="247"/>
      <c r="O15" s="247"/>
      <c r="P15" s="247"/>
      <c r="Q15" s="264"/>
      <c r="R15" s="264"/>
      <c r="S15" s="264"/>
      <c r="T15" s="265"/>
    </row>
    <row r="16" spans="1:20" ht="32.25" customHeight="1">
      <c r="A16" s="201">
        <v>6</v>
      </c>
      <c r="B16" s="210" t="s">
        <v>476</v>
      </c>
      <c r="C16" s="211">
        <v>14994</v>
      </c>
      <c r="D16" s="207" t="str">
        <f>IF(OR(B16=""),"",VLOOKUP(B16,'price and cost sheet'!$C:$D,2,0))</f>
        <v>KG</v>
      </c>
      <c r="E16" s="201">
        <v>6</v>
      </c>
      <c r="F16" s="328"/>
      <c r="G16" s="329"/>
      <c r="H16" s="212"/>
      <c r="I16" s="254" t="str">
        <f>IF(OR(F16=""),"",VLOOKUP(F16,'price and cost sheet'!$C:$D,2,0))</f>
        <v/>
      </c>
      <c r="J16" s="252"/>
      <c r="L16" s="253"/>
      <c r="M16" s="247"/>
      <c r="N16" s="247"/>
      <c r="O16" s="247"/>
      <c r="P16" s="247"/>
      <c r="Q16" s="264"/>
      <c r="R16" s="264"/>
      <c r="S16" s="264"/>
      <c r="T16" s="265"/>
    </row>
    <row r="17" spans="1:20" ht="32.25" customHeight="1">
      <c r="A17" s="201">
        <v>7</v>
      </c>
      <c r="B17" s="213"/>
      <c r="C17" s="211"/>
      <c r="D17" s="207" t="str">
        <f>IF(OR(B17=""),"",VLOOKUP(B17,'price and cost sheet'!$C:$D,2,0))</f>
        <v/>
      </c>
      <c r="E17" s="205">
        <v>7</v>
      </c>
      <c r="F17" s="328"/>
      <c r="G17" s="329"/>
      <c r="H17" s="212"/>
      <c r="I17" s="254" t="str">
        <f>IF(OR(F17=""),"",VLOOKUP(F17,'price and cost sheet'!$C:$D,2,0))</f>
        <v/>
      </c>
      <c r="J17" s="252"/>
      <c r="L17" s="253"/>
      <c r="M17" s="247"/>
      <c r="N17" s="247"/>
      <c r="O17" s="247"/>
      <c r="P17" s="247"/>
      <c r="Q17" s="264"/>
      <c r="R17" s="264"/>
      <c r="S17" s="264"/>
      <c r="T17" s="265"/>
    </row>
    <row r="18" spans="1:20" ht="32.25" customHeight="1">
      <c r="A18" s="201">
        <v>8</v>
      </c>
      <c r="B18" s="213"/>
      <c r="C18" s="211"/>
      <c r="D18" s="207" t="str">
        <f>IF(OR(B18=""),"",VLOOKUP(B18,'price and cost sheet'!$C:$D,2,0))</f>
        <v/>
      </c>
      <c r="E18" s="201">
        <v>8</v>
      </c>
      <c r="F18" s="328"/>
      <c r="G18" s="329"/>
      <c r="H18" s="212"/>
      <c r="I18" s="254" t="str">
        <f>IF(OR(F18=""),"",VLOOKUP(F18,'price and cost sheet'!$C:$D,2,0))</f>
        <v/>
      </c>
      <c r="J18" s="252"/>
      <c r="L18" s="253"/>
      <c r="M18" s="247"/>
      <c r="N18" s="247"/>
      <c r="O18" s="247"/>
      <c r="P18" s="256"/>
      <c r="Q18" s="256"/>
      <c r="R18" s="256"/>
      <c r="S18" s="256"/>
      <c r="T18" s="265"/>
    </row>
    <row r="19" spans="1:20" ht="32.25" customHeight="1">
      <c r="A19" s="201">
        <v>9</v>
      </c>
      <c r="B19" s="213"/>
      <c r="C19" s="211"/>
      <c r="D19" s="207" t="str">
        <f>IF(OR(B19=""),"",VLOOKUP(B19,'price and cost sheet'!$C:$D,2,0))</f>
        <v/>
      </c>
      <c r="E19" s="205">
        <v>9</v>
      </c>
      <c r="F19" s="328"/>
      <c r="G19" s="329"/>
      <c r="H19" s="212"/>
      <c r="I19" s="254" t="str">
        <f>IF(OR(F19=""),"",VLOOKUP(F19,'price and cost sheet'!$C:$D,2,0))</f>
        <v/>
      </c>
      <c r="J19" s="252"/>
      <c r="L19" s="253"/>
      <c r="M19" s="247"/>
      <c r="N19" s="247"/>
      <c r="O19" s="247"/>
      <c r="P19" s="256"/>
      <c r="Q19" s="256"/>
      <c r="R19" s="256"/>
      <c r="S19" s="256"/>
      <c r="T19" s="265"/>
    </row>
    <row r="20" spans="1:20" ht="32.25" customHeight="1">
      <c r="A20" s="201">
        <v>10</v>
      </c>
      <c r="B20" s="213"/>
      <c r="C20" s="211"/>
      <c r="D20" s="207" t="str">
        <f>IF(OR(B20=""),"",VLOOKUP(B20,'price and cost sheet'!$C:$D,2,0))</f>
        <v/>
      </c>
      <c r="E20" s="201">
        <v>10</v>
      </c>
      <c r="F20" s="328"/>
      <c r="G20" s="329"/>
      <c r="H20" s="212"/>
      <c r="I20" s="254" t="str">
        <f>IF(OR(F20=""),"",VLOOKUP(F20,'price and cost sheet'!$C:$D,2,0))</f>
        <v/>
      </c>
      <c r="J20" s="252"/>
      <c r="L20" s="253"/>
      <c r="M20" s="247"/>
      <c r="N20" s="247"/>
      <c r="O20" s="247"/>
      <c r="P20" s="256"/>
      <c r="Q20" s="256"/>
      <c r="R20" s="256"/>
      <c r="S20" s="256"/>
      <c r="T20" s="265"/>
    </row>
    <row r="21" spans="1:20" ht="32.25" customHeight="1">
      <c r="A21" s="201">
        <v>11</v>
      </c>
      <c r="B21" s="213"/>
      <c r="C21" s="211"/>
      <c r="D21" s="207" t="str">
        <f>IF(OR(B21=""),"",VLOOKUP(B21,'price and cost sheet'!$C:$D,2,0))</f>
        <v/>
      </c>
      <c r="E21" s="205">
        <v>11</v>
      </c>
      <c r="F21" s="317"/>
      <c r="G21" s="318"/>
      <c r="H21" s="212"/>
      <c r="I21" s="254" t="str">
        <f>IF(OR(F21=""),"",VLOOKUP(F21,'price and cost sheet'!$C:$D,2,0))</f>
        <v/>
      </c>
      <c r="J21" s="252"/>
      <c r="L21" s="253"/>
      <c r="M21" s="247"/>
      <c r="N21" s="247"/>
      <c r="O21" s="247"/>
      <c r="P21" s="256"/>
      <c r="Q21" s="256"/>
      <c r="R21" s="256"/>
      <c r="S21" s="256"/>
      <c r="T21" s="265"/>
    </row>
    <row r="22" spans="1:20" ht="32.25" customHeight="1">
      <c r="A22" s="201">
        <v>12</v>
      </c>
      <c r="B22" s="213"/>
      <c r="C22" s="211"/>
      <c r="D22" s="207" t="str">
        <f>IF(OR(B22=""),"",VLOOKUP(B22,'price and cost sheet'!$C:$D,2,0))</f>
        <v/>
      </c>
      <c r="E22" s="201">
        <v>12</v>
      </c>
      <c r="F22" s="317"/>
      <c r="G22" s="318"/>
      <c r="H22" s="212"/>
      <c r="I22" s="254" t="str">
        <f>IF(OR(F22=""),"",VLOOKUP(F22,'price and cost sheet'!$C:$D,2,0))</f>
        <v/>
      </c>
      <c r="J22" s="252"/>
      <c r="L22" s="253"/>
      <c r="M22" s="256"/>
      <c r="N22" s="256"/>
      <c r="O22" s="256"/>
      <c r="P22" s="256"/>
      <c r="Q22" s="256"/>
      <c r="R22" s="256"/>
      <c r="S22" s="256"/>
      <c r="T22" s="265"/>
    </row>
    <row r="23" spans="1:20" ht="32.25" customHeight="1">
      <c r="A23" s="201">
        <v>13</v>
      </c>
      <c r="B23" s="213"/>
      <c r="C23" s="211"/>
      <c r="D23" s="207" t="str">
        <f>IF(OR(B23=""),"",VLOOKUP(B23,'price and cost sheet'!$C:$D,2,0))</f>
        <v/>
      </c>
      <c r="E23" s="205">
        <v>13</v>
      </c>
      <c r="F23" s="317"/>
      <c r="G23" s="318"/>
      <c r="H23" s="212"/>
      <c r="I23" s="254" t="str">
        <f>IF(OR(F23=""),"",VLOOKUP(F23,'price and cost sheet'!$C:$D,2,0))</f>
        <v/>
      </c>
      <c r="J23" s="252"/>
      <c r="L23" s="253"/>
      <c r="M23" s="256"/>
      <c r="N23" s="256"/>
      <c r="O23" s="256"/>
      <c r="P23" s="256"/>
      <c r="Q23" s="256"/>
      <c r="R23" s="256"/>
      <c r="S23" s="256"/>
      <c r="T23" s="265"/>
    </row>
    <row r="24" spans="1:20" ht="32.25" customHeight="1">
      <c r="A24" s="201">
        <v>14</v>
      </c>
      <c r="B24" s="213"/>
      <c r="C24" s="211"/>
      <c r="D24" s="207" t="str">
        <f>IF(OR(B24=""),"",VLOOKUP(B24,'price and cost sheet'!$C:$D,2,0))</f>
        <v/>
      </c>
      <c r="E24" s="201">
        <v>14</v>
      </c>
      <c r="F24" s="317"/>
      <c r="G24" s="318"/>
      <c r="H24" s="212"/>
      <c r="I24" s="254" t="str">
        <f>IF(OR(F24=""),"",VLOOKUP(F24,'price and cost sheet'!$C:$D,2,0))</f>
        <v/>
      </c>
      <c r="J24" s="252"/>
      <c r="L24" s="253"/>
      <c r="M24" s="257"/>
      <c r="N24" s="257"/>
      <c r="O24" s="257"/>
      <c r="P24" s="257"/>
      <c r="Q24" s="257"/>
      <c r="R24" s="257"/>
      <c r="S24" s="257"/>
      <c r="T24" s="265"/>
    </row>
    <row r="25" spans="1:20" ht="32.25" customHeight="1">
      <c r="A25" s="201">
        <v>15</v>
      </c>
      <c r="B25" s="213"/>
      <c r="C25" s="211"/>
      <c r="D25" s="207" t="str">
        <f>IF(OR(B25=""),"",VLOOKUP(B25,'price and cost sheet'!$C:$D,2,0))</f>
        <v/>
      </c>
      <c r="E25" s="205">
        <v>15</v>
      </c>
      <c r="F25" s="317"/>
      <c r="G25" s="318"/>
      <c r="H25" s="212"/>
      <c r="I25" s="254" t="str">
        <f>IF(OR(F25=""),"",VLOOKUP(F25,'price and cost sheet'!$C:$D,2,0))</f>
        <v/>
      </c>
      <c r="J25" s="252"/>
      <c r="L25" s="253"/>
      <c r="M25" s="257"/>
      <c r="N25" s="257"/>
      <c r="O25" s="257"/>
      <c r="P25" s="257"/>
      <c r="Q25" s="257"/>
      <c r="R25" s="257"/>
      <c r="S25" s="257"/>
      <c r="T25" s="265"/>
    </row>
    <row r="26" spans="1:20" ht="32.25" customHeight="1">
      <c r="A26" s="201">
        <v>16</v>
      </c>
      <c r="B26" s="213"/>
      <c r="C26" s="211"/>
      <c r="D26" s="207" t="str">
        <f>IF(OR(B26=""),"",VLOOKUP(B26,'price and cost sheet'!$C:$D,2,0))</f>
        <v/>
      </c>
      <c r="E26" s="201">
        <v>16</v>
      </c>
      <c r="F26" s="317"/>
      <c r="G26" s="318"/>
      <c r="H26" s="212"/>
      <c r="I26" s="254" t="str">
        <f>IF(OR(F26=""),"",VLOOKUP(F26,'price and cost sheet'!$C:$D,2,0))</f>
        <v/>
      </c>
      <c r="J26" s="252"/>
      <c r="L26" s="253"/>
      <c r="M26" s="257"/>
      <c r="N26" s="257"/>
      <c r="O26" s="257"/>
      <c r="P26" s="257"/>
      <c r="Q26" s="257"/>
      <c r="R26" s="257"/>
      <c r="S26" s="257"/>
      <c r="T26" s="265"/>
    </row>
    <row r="27" spans="1:20" ht="32.25" customHeight="1">
      <c r="A27" s="201">
        <v>17</v>
      </c>
      <c r="B27" s="213"/>
      <c r="C27" s="211"/>
      <c r="D27" s="207" t="str">
        <f>IF(OR(B27=""),"",VLOOKUP(B27,'price and cost sheet'!$C:$D,2,0))</f>
        <v/>
      </c>
      <c r="E27" s="205">
        <v>17</v>
      </c>
      <c r="F27" s="317"/>
      <c r="G27" s="318"/>
      <c r="H27" s="212"/>
      <c r="I27" s="254" t="str">
        <f>IF(OR(F27=""),"",VLOOKUP(F27,'price and cost sheet'!$C:$D,2,0))</f>
        <v/>
      </c>
      <c r="J27" s="252"/>
      <c r="L27" s="253"/>
      <c r="M27" s="257"/>
      <c r="N27" s="257"/>
      <c r="O27" s="257"/>
      <c r="P27" s="257"/>
      <c r="Q27" s="257"/>
      <c r="R27" s="257"/>
      <c r="S27" s="257"/>
      <c r="T27" s="265"/>
    </row>
    <row r="28" spans="1:20" ht="32.25" customHeight="1">
      <c r="A28" s="201">
        <v>18</v>
      </c>
      <c r="B28" s="213"/>
      <c r="C28" s="211"/>
      <c r="D28" s="207" t="str">
        <f>IF(OR(B28=""),"",VLOOKUP(B28,'price and cost sheet'!$C:$D,2,0))</f>
        <v/>
      </c>
      <c r="E28" s="201">
        <v>18</v>
      </c>
      <c r="F28" s="317"/>
      <c r="G28" s="318"/>
      <c r="H28" s="212"/>
      <c r="I28" s="254" t="str">
        <f>IF(OR(F28=""),"",VLOOKUP(F28,'price and cost sheet'!$C:$D,2,0))</f>
        <v/>
      </c>
      <c r="J28" s="252"/>
      <c r="L28" s="253"/>
      <c r="M28" s="257"/>
      <c r="N28" s="257"/>
      <c r="O28" s="257"/>
      <c r="P28" s="257"/>
      <c r="Q28" s="257"/>
      <c r="R28" s="257"/>
      <c r="S28" s="257"/>
      <c r="T28" s="265"/>
    </row>
    <row r="29" spans="1:20" ht="32.25" customHeight="1">
      <c r="A29" s="201">
        <v>19</v>
      </c>
      <c r="B29" s="214"/>
      <c r="C29" s="211"/>
      <c r="D29" s="207" t="str">
        <f>IF(OR(B29=""),"",VLOOKUP(B29,'price and cost sheet'!$C:$D,2,0))</f>
        <v/>
      </c>
      <c r="E29" s="205">
        <v>19</v>
      </c>
      <c r="F29" s="317"/>
      <c r="G29" s="318"/>
      <c r="H29" s="212"/>
      <c r="I29" s="254" t="str">
        <f>IF(OR(F29=""),"",VLOOKUP(F29,'price and cost sheet'!$C:$D,2,0))</f>
        <v/>
      </c>
      <c r="J29" s="252"/>
      <c r="L29" s="253"/>
      <c r="M29" s="258"/>
      <c r="N29" s="258"/>
      <c r="O29" s="258"/>
      <c r="P29" s="258"/>
      <c r="Q29" s="258"/>
      <c r="R29" s="258"/>
      <c r="S29" s="258"/>
      <c r="T29" s="265"/>
    </row>
    <row r="30" spans="1:20" ht="32.25" customHeight="1">
      <c r="A30" s="201">
        <v>20</v>
      </c>
      <c r="B30" s="214"/>
      <c r="C30" s="211"/>
      <c r="D30" s="207" t="str">
        <f>IF(OR(B30=""),"",VLOOKUP(B30,'price and cost sheet'!$C:$D,2,0))</f>
        <v/>
      </c>
      <c r="E30" s="201">
        <v>20</v>
      </c>
      <c r="F30" s="317"/>
      <c r="G30" s="318"/>
      <c r="H30" s="212"/>
      <c r="I30" s="254" t="str">
        <f>IF(OR(F30=""),"",VLOOKUP(F30,'price and cost sheet'!$C:$D,2,0))</f>
        <v/>
      </c>
      <c r="J30" s="252"/>
      <c r="L30" s="253"/>
      <c r="M30" s="258"/>
      <c r="N30" s="258"/>
      <c r="O30" s="258"/>
      <c r="P30" s="258"/>
      <c r="Q30" s="258"/>
      <c r="R30" s="258"/>
      <c r="S30" s="258"/>
      <c r="T30" s="265"/>
    </row>
    <row r="31" spans="1:20" ht="32.25" customHeight="1">
      <c r="A31" s="201">
        <v>21</v>
      </c>
      <c r="B31" s="215"/>
      <c r="C31" s="216"/>
      <c r="D31" s="207" t="str">
        <f>IF(OR(B31=""),"",VLOOKUP(B31,'price and cost sheet'!$C:$D,2,0))</f>
        <v/>
      </c>
      <c r="E31" s="217">
        <v>21</v>
      </c>
      <c r="F31" s="319"/>
      <c r="G31" s="320"/>
      <c r="H31" s="218"/>
      <c r="I31" s="259" t="str">
        <f>IF(OR(F31=""),"",VLOOKUP(F31,'price and cost sheet'!$C:$D,2,0))</f>
        <v/>
      </c>
      <c r="J31" s="252"/>
      <c r="L31" s="253"/>
      <c r="M31" s="258"/>
      <c r="N31" s="258"/>
      <c r="O31" s="258"/>
      <c r="P31" s="258"/>
      <c r="Q31" s="258"/>
      <c r="R31" s="258"/>
      <c r="S31" s="258"/>
      <c r="T31" s="265"/>
    </row>
    <row r="32" spans="1:20" ht="29.25" customHeight="1">
      <c r="A32" s="321" t="s">
        <v>703</v>
      </c>
      <c r="B32" s="322"/>
      <c r="C32" s="322"/>
      <c r="D32" s="323"/>
      <c r="E32" s="324" t="s">
        <v>704</v>
      </c>
      <c r="F32" s="325"/>
      <c r="G32" s="325"/>
      <c r="H32" s="325"/>
      <c r="I32" s="326"/>
      <c r="J32" s="248"/>
      <c r="L32" s="248"/>
      <c r="M32" s="248"/>
      <c r="N32" s="248"/>
      <c r="O32" s="248"/>
      <c r="P32" s="248"/>
      <c r="Q32" s="248"/>
      <c r="R32" s="248"/>
      <c r="S32" s="248"/>
      <c r="T32" s="248"/>
    </row>
    <row r="33" spans="1:20" ht="60" customHeight="1">
      <c r="A33" s="198" t="s">
        <v>463</v>
      </c>
      <c r="B33" s="199" t="s">
        <v>477</v>
      </c>
      <c r="C33" s="219" t="s">
        <v>478</v>
      </c>
      <c r="D33" s="220" t="s">
        <v>479</v>
      </c>
      <c r="E33" s="200" t="s">
        <v>480</v>
      </c>
      <c r="F33" s="199" t="s">
        <v>481</v>
      </c>
      <c r="G33" s="221" t="s">
        <v>482</v>
      </c>
      <c r="H33" s="221" t="s">
        <v>483</v>
      </c>
      <c r="I33" s="260" t="s">
        <v>484</v>
      </c>
      <c r="J33" s="249"/>
      <c r="L33" s="249"/>
      <c r="M33" s="249"/>
      <c r="N33" s="249"/>
      <c r="O33" s="249"/>
      <c r="P33" s="249"/>
      <c r="Q33" s="249"/>
      <c r="R33" s="249"/>
      <c r="S33" s="249"/>
      <c r="T33" s="249"/>
    </row>
    <row r="34" spans="1:20" ht="32.25" customHeight="1">
      <c r="A34" s="201">
        <v>1</v>
      </c>
      <c r="B34" s="222" t="s">
        <v>32</v>
      </c>
      <c r="C34" s="223">
        <v>1</v>
      </c>
      <c r="D34" s="204" t="str">
        <f>IF(OR(B34=""),"",VLOOKUP(B34,'price and cost sheet'!$B:$D,3,0))</f>
        <v>元/井</v>
      </c>
      <c r="E34" s="201">
        <v>1</v>
      </c>
      <c r="F34" s="224" t="s">
        <v>8</v>
      </c>
      <c r="G34" s="225">
        <v>45668</v>
      </c>
      <c r="H34" s="225">
        <v>45669</v>
      </c>
      <c r="I34" s="261">
        <f t="shared" ref="I34:I43" si="0">IF(OR(H34="",G34=""),"",H34-G34+1)</f>
        <v>2</v>
      </c>
      <c r="J34" s="252"/>
      <c r="L34" s="252"/>
      <c r="M34" s="252"/>
      <c r="N34" s="252"/>
      <c r="O34" s="252"/>
      <c r="P34" s="252"/>
      <c r="Q34" s="252"/>
      <c r="R34" s="252"/>
      <c r="S34" s="252"/>
      <c r="T34" s="252"/>
    </row>
    <row r="35" spans="1:20" ht="32.25" customHeight="1">
      <c r="A35" s="201">
        <v>2</v>
      </c>
      <c r="B35" s="222" t="s">
        <v>34</v>
      </c>
      <c r="C35" s="223">
        <v>1</v>
      </c>
      <c r="D35" s="204" t="str">
        <f>IF(OR(B35=""),"",VLOOKUP(B35,'price and cost sheet'!$B:$D,3,0))</f>
        <v>元/次/套</v>
      </c>
      <c r="E35" s="201">
        <v>2</v>
      </c>
      <c r="F35" s="226"/>
      <c r="G35" s="225"/>
      <c r="H35" s="225"/>
      <c r="I35" s="261" t="str">
        <f t="shared" si="0"/>
        <v/>
      </c>
      <c r="J35" s="252"/>
      <c r="L35" s="252"/>
      <c r="M35" s="252"/>
      <c r="N35" s="252"/>
      <c r="O35" s="252"/>
      <c r="P35" s="252"/>
      <c r="Q35" s="252"/>
      <c r="R35" s="252"/>
      <c r="S35" s="252"/>
      <c r="T35" s="252"/>
    </row>
    <row r="36" spans="1:20" ht="32.25" customHeight="1">
      <c r="A36" s="201">
        <v>3</v>
      </c>
      <c r="B36" s="226"/>
      <c r="C36" s="223"/>
      <c r="D36" s="207" t="str">
        <f>IF(OR(B36=""),"",VLOOKUP(B36,'price and cost sheet'!$B:$D,3,0))</f>
        <v/>
      </c>
      <c r="E36" s="201">
        <v>3</v>
      </c>
      <c r="F36" s="227"/>
      <c r="G36" s="225"/>
      <c r="H36" s="225"/>
      <c r="I36" s="261" t="str">
        <f t="shared" si="0"/>
        <v/>
      </c>
      <c r="J36" s="252"/>
      <c r="L36" s="252"/>
      <c r="M36" s="252"/>
      <c r="N36" s="252"/>
      <c r="O36" s="252"/>
      <c r="P36" s="252"/>
      <c r="Q36" s="252"/>
      <c r="R36" s="252"/>
      <c r="S36" s="252"/>
      <c r="T36" s="252"/>
    </row>
    <row r="37" spans="1:20" ht="32.25" customHeight="1">
      <c r="A37" s="201">
        <v>4</v>
      </c>
      <c r="B37" s="226"/>
      <c r="C37" s="223"/>
      <c r="D37" s="207" t="str">
        <f>IF(OR(B37=""),"",VLOOKUP(B37,'price and cost sheet'!$B:$D,3,0))</f>
        <v/>
      </c>
      <c r="E37" s="201">
        <v>4</v>
      </c>
      <c r="F37" s="227"/>
      <c r="G37" s="225"/>
      <c r="H37" s="225"/>
      <c r="I37" s="261" t="str">
        <f t="shared" si="0"/>
        <v/>
      </c>
      <c r="J37" s="252"/>
      <c r="L37" s="252"/>
      <c r="M37" s="252"/>
      <c r="N37" s="252"/>
      <c r="O37" s="252"/>
      <c r="P37" s="252"/>
      <c r="Q37" s="252"/>
      <c r="R37" s="252"/>
      <c r="S37" s="252"/>
      <c r="T37" s="252"/>
    </row>
    <row r="38" spans="1:20" ht="32.25" customHeight="1">
      <c r="A38" s="201">
        <v>5</v>
      </c>
      <c r="B38" s="228"/>
      <c r="C38" s="226"/>
      <c r="D38" s="207" t="str">
        <f>IF(OR(B38=""),"",VLOOKUP(B38,'price and cost sheet'!$B:$D,3,0))</f>
        <v/>
      </c>
      <c r="E38" s="205">
        <v>5</v>
      </c>
      <c r="F38" s="226"/>
      <c r="G38" s="225"/>
      <c r="H38" s="225"/>
      <c r="I38" s="261" t="str">
        <f t="shared" si="0"/>
        <v/>
      </c>
      <c r="J38" s="252"/>
      <c r="L38" s="252"/>
      <c r="M38" s="252"/>
      <c r="N38" s="252"/>
      <c r="O38" s="252"/>
      <c r="P38" s="252"/>
      <c r="Q38" s="252"/>
      <c r="R38" s="252"/>
      <c r="S38" s="252"/>
      <c r="T38" s="252"/>
    </row>
    <row r="39" spans="1:20" ht="32.25" customHeight="1">
      <c r="A39" s="201">
        <v>6</v>
      </c>
      <c r="B39" s="226"/>
      <c r="C39" s="223"/>
      <c r="D39" s="207" t="str">
        <f>IF(OR(B39=""),"",VLOOKUP(B39,'price and cost sheet'!$B:$D,3,0))</f>
        <v/>
      </c>
      <c r="E39" s="201">
        <v>6</v>
      </c>
      <c r="F39" s="226"/>
      <c r="G39" s="223"/>
      <c r="H39" s="212"/>
      <c r="I39" s="261" t="str">
        <f t="shared" si="0"/>
        <v/>
      </c>
      <c r="J39" s="252"/>
      <c r="L39" s="252"/>
      <c r="M39" s="252"/>
      <c r="N39" s="252"/>
      <c r="O39" s="252"/>
      <c r="P39" s="252"/>
      <c r="Q39" s="252"/>
      <c r="R39" s="252"/>
      <c r="S39" s="252"/>
      <c r="T39" s="252"/>
    </row>
    <row r="40" spans="1:20" ht="32.25" customHeight="1">
      <c r="A40" s="201">
        <v>7</v>
      </c>
      <c r="B40" s="226"/>
      <c r="C40" s="223"/>
      <c r="D40" s="207" t="str">
        <f>IF(OR(B40=""),"",VLOOKUP(B40,'price and cost sheet'!$B:$D,3,0))</f>
        <v/>
      </c>
      <c r="E40" s="205">
        <v>7</v>
      </c>
      <c r="F40" s="226"/>
      <c r="G40" s="223"/>
      <c r="H40" s="212"/>
      <c r="I40" s="261" t="str">
        <f t="shared" si="0"/>
        <v/>
      </c>
      <c r="J40" s="252"/>
      <c r="L40" s="252"/>
      <c r="M40" s="252"/>
      <c r="N40" s="252"/>
      <c r="O40" s="252"/>
      <c r="P40" s="252"/>
      <c r="Q40" s="252"/>
      <c r="R40" s="252"/>
      <c r="S40" s="252"/>
      <c r="T40" s="252"/>
    </row>
    <row r="41" spans="1:20" ht="32.25" customHeight="1">
      <c r="A41" s="201">
        <v>8</v>
      </c>
      <c r="B41" s="229"/>
      <c r="C41" s="223"/>
      <c r="D41" s="207" t="str">
        <f>IF(OR(B41=""),"",VLOOKUP(B41,'price and cost sheet'!$B:$D,3,0))</f>
        <v/>
      </c>
      <c r="E41" s="201">
        <v>8</v>
      </c>
      <c r="F41" s="226"/>
      <c r="G41" s="223"/>
      <c r="H41" s="212"/>
      <c r="I41" s="261" t="str">
        <f t="shared" si="0"/>
        <v/>
      </c>
      <c r="J41" s="252"/>
      <c r="L41" s="252"/>
      <c r="M41" s="252"/>
      <c r="N41" s="252"/>
      <c r="O41" s="252"/>
      <c r="P41" s="252"/>
      <c r="Q41" s="252"/>
      <c r="R41" s="252"/>
      <c r="S41" s="252"/>
      <c r="T41" s="252"/>
    </row>
    <row r="42" spans="1:20" ht="32.25" customHeight="1">
      <c r="A42" s="201">
        <v>9</v>
      </c>
      <c r="B42" s="229"/>
      <c r="C42" s="223"/>
      <c r="D42" s="207" t="str">
        <f>IF(OR(B42=""),"",VLOOKUP(B42,'price and cost sheet'!$B:$D,3,0))</f>
        <v/>
      </c>
      <c r="E42" s="205">
        <v>9</v>
      </c>
      <c r="F42" s="226"/>
      <c r="G42" s="223"/>
      <c r="H42" s="212"/>
      <c r="I42" s="261" t="str">
        <f t="shared" si="0"/>
        <v/>
      </c>
      <c r="J42" s="252"/>
      <c r="L42" s="252"/>
      <c r="M42" s="252"/>
      <c r="N42" s="252"/>
      <c r="O42" s="252"/>
      <c r="P42" s="252"/>
      <c r="Q42" s="252"/>
      <c r="R42" s="252"/>
      <c r="S42" s="252"/>
      <c r="T42" s="252"/>
    </row>
    <row r="43" spans="1:20" ht="32.25" customHeight="1">
      <c r="A43" s="217">
        <v>10</v>
      </c>
      <c r="B43" s="230"/>
      <c r="C43" s="231"/>
      <c r="D43" s="207" t="str">
        <f>IF(OR(B43=""),"",VLOOKUP(B43,'price and cost sheet'!$B:$D,3,0))</f>
        <v/>
      </c>
      <c r="E43" s="217">
        <v>10</v>
      </c>
      <c r="F43" s="231"/>
      <c r="G43" s="231"/>
      <c r="H43" s="218"/>
      <c r="I43" s="261" t="str">
        <f t="shared" si="0"/>
        <v/>
      </c>
      <c r="J43" s="252"/>
      <c r="L43" s="252"/>
      <c r="M43" s="252"/>
      <c r="N43" s="252"/>
      <c r="O43" s="252"/>
      <c r="P43" s="252"/>
      <c r="Q43" s="252"/>
      <c r="R43" s="252"/>
      <c r="S43" s="252"/>
      <c r="T43" s="252"/>
    </row>
    <row r="44" spans="1:20">
      <c r="A44" s="232"/>
      <c r="B44" s="327" t="s">
        <v>485</v>
      </c>
      <c r="C44" s="327"/>
      <c r="D44" s="327"/>
      <c r="E44" s="327"/>
      <c r="F44" s="327"/>
      <c r="G44" s="327"/>
      <c r="H44" s="233"/>
      <c r="I44" s="262"/>
      <c r="L44" s="187"/>
      <c r="M44" s="187"/>
      <c r="N44" s="187"/>
      <c r="O44" s="187"/>
      <c r="P44" s="187"/>
      <c r="Q44" s="187"/>
      <c r="R44" s="187"/>
      <c r="S44" s="187"/>
      <c r="T44" s="187"/>
    </row>
    <row r="45" spans="1:20" ht="11.25" customHeight="1">
      <c r="A45" s="187"/>
      <c r="B45" s="187"/>
      <c r="C45" s="187"/>
      <c r="D45" s="187"/>
      <c r="E45" s="187"/>
      <c r="F45" s="187"/>
      <c r="G45" s="187"/>
      <c r="H45" s="187"/>
      <c r="I45" s="187"/>
      <c r="J45" s="187"/>
      <c r="L45" s="187"/>
      <c r="M45" s="187"/>
      <c r="N45" s="187"/>
      <c r="O45" s="187"/>
      <c r="P45" s="187"/>
      <c r="Q45" s="187"/>
      <c r="R45" s="187"/>
      <c r="S45" s="187"/>
      <c r="T45" s="187"/>
    </row>
    <row r="46" spans="1:20" ht="17.399999999999999">
      <c r="A46" s="187"/>
      <c r="B46" s="187"/>
      <c r="C46" s="234"/>
      <c r="D46" s="234"/>
      <c r="E46" s="187"/>
      <c r="F46" s="187"/>
      <c r="G46" s="187"/>
      <c r="H46" s="187"/>
      <c r="I46" s="187"/>
      <c r="J46" s="187"/>
      <c r="L46" s="187"/>
      <c r="M46" s="187"/>
      <c r="N46" s="187"/>
      <c r="O46" s="187"/>
      <c r="P46" s="187"/>
      <c r="Q46" s="187"/>
      <c r="R46" s="187"/>
      <c r="S46" s="187"/>
      <c r="T46" s="187"/>
    </row>
  </sheetData>
  <sheetProtection formatCells="0" formatColumns="0" formatRows="0"/>
  <mergeCells count="42">
    <mergeCell ref="C1:G1"/>
    <mergeCell ref="C3:G3"/>
    <mergeCell ref="C4:G4"/>
    <mergeCell ref="H8:I8"/>
    <mergeCell ref="A9:D9"/>
    <mergeCell ref="E9:I9"/>
    <mergeCell ref="A6:A7"/>
    <mergeCell ref="B6:B7"/>
    <mergeCell ref="C6:C7"/>
    <mergeCell ref="D6:D7"/>
    <mergeCell ref="E6:E7"/>
    <mergeCell ref="G6:G7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  <mergeCell ref="F31:G31"/>
    <mergeCell ref="A32:D32"/>
    <mergeCell ref="E32:I32"/>
    <mergeCell ref="B44:G44"/>
    <mergeCell ref="P6:P7"/>
    <mergeCell ref="Q6:Q7"/>
    <mergeCell ref="R6:R7"/>
    <mergeCell ref="S6:S7"/>
    <mergeCell ref="T9:T10"/>
  </mergeCells>
  <conditionalFormatting sqref="T11:T31">
    <cfRule type="cellIs" dxfId="3" priority="4" operator="greaterThan">
      <formula>0</formula>
    </cfRule>
    <cfRule type="cellIs" dxfId="2" priority="3" operator="greaterThan">
      <formula>0</formula>
    </cfRule>
    <cfRule type="cellIs" dxfId="1" priority="2" operator="greaterThan">
      <formula>0</formula>
    </cfRule>
    <cfRule type="cellIs" dxfId="0" priority="1" operator="lessThan">
      <formula>0</formula>
    </cfRule>
  </conditionalFormatting>
  <dataValidations count="2">
    <dataValidation type="list" allowBlank="1" showInputMessage="1" showErrorMessage="1" sqref="Q2 R2" xr:uid="{00000000-0002-0000-0200-000001000000}">
      <formula1>"否,是"</formula1>
    </dataValidation>
    <dataValidation allowBlank="1" showInputMessage="1" showErrorMessage="1" sqref="F7" xr:uid="{00000000-0002-0000-0200-000003000000}"/>
  </dataValidations>
  <printOptions horizontalCentered="1" verticalCentered="1"/>
  <pageMargins left="0" right="0" top="0" bottom="0" header="0" footer="0"/>
  <pageSetup paperSize="9" scale="4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200-000000000000}">
          <x14:formula1>
            <xm:f>'price and cost sheet'!$B$16:$B$39</xm:f>
          </x14:formula1>
          <xm:sqref>B34:B43</xm:sqref>
        </x14:dataValidation>
        <x14:dataValidation type="list" allowBlank="1" showInputMessage="1" showErrorMessage="1" xr:uid="{00000000-0002-0000-0200-000002000000}">
          <x14:formula1>
            <xm:f>CHOOSE(MATCH(P6,tx!A1:Q1,0),tx!A2:A5,tx!B2:B4,tx!C2:C5,tx!D2:D4,tx!E2:E3,tx!F2:F3,tx!G2:G3,tx!H2:H4,tx!I2:I3,tx!J2:J4,tx!K2:K4,tx!L2:L3,tx!M2,tx!N2,tx!O2,tx!P2,tx!Q2)</xm:f>
          </x14:formula1>
          <xm:sqref>P8</xm:sqref>
        </x14:dataValidation>
        <x14:dataValidation type="list" allowBlank="1" showInputMessage="1" showErrorMessage="1" xr:uid="{00000000-0002-0000-0200-000004000000}">
          <x14:formula1>
            <xm:f>CHOOSE(MATCH(Q6,tx!A1:Q1,0),tx!A2:A5,tx!B2:B4,tx!C2:C5,tx!D2:D4,tx!E2:E3,tx!F2:F3,tx!G2:G3,tx!H2:H4,tx!I2:I3,tx!J2:J4,tx!K2:K4,tx!L2:L3,tx!M2,tx!N2,tx!O2,tx!P2,tx!Q2)</xm:f>
          </x14:formula1>
          <xm:sqref>Q8</xm:sqref>
        </x14:dataValidation>
        <x14:dataValidation type="list" allowBlank="1" showInputMessage="1" showErrorMessage="1" xr:uid="{00000000-0002-0000-0200-000005000000}">
          <x14:formula1>
            <xm:f>CHOOSE(MATCH(R6,tx!A1:Q1,0),tx!A2:A5,tx!B2:B4,tx!C2:C5,tx!D2:D4,tx!E2:E3,tx!F2:F3,tx!G2:G3,tx!H2:H4,tx!I2:I3,tx!J2:J4,tx!K2:K4,tx!L2:L3,tx!M2,tx!N2,tx!O2,tx!P2,tx!Q2)</xm:f>
          </x14:formula1>
          <xm:sqref>R8</xm:sqref>
        </x14:dataValidation>
        <x14:dataValidation type="list" allowBlank="1" showInputMessage="1" showErrorMessage="1" xr:uid="{00000000-0002-0000-0200-000006000000}">
          <x14:formula1>
            <xm:f>'price and cost sheet'!$C$51:$C$107</xm:f>
          </x14:formula1>
          <xm:sqref>B11:B31</xm:sqref>
        </x14:dataValidation>
        <x14:dataValidation type="list" allowBlank="1" showInputMessage="1" showErrorMessage="1" xr:uid="{00000000-0002-0000-0200-000007000000}">
          <x14:formula1>
            <xm:f>'price and cost sheet'!$B$2:$B$12</xm:f>
          </x14:formula1>
          <xm:sqref>F34:F43</xm:sqref>
        </x14:dataValidation>
        <x14:dataValidation type="list" allowBlank="1" showInputMessage="1" showErrorMessage="1" xr:uid="{00000000-0002-0000-0200-000008000000}">
          <x14:formula1>
            <xm:f>tx!$A$1:$Q$1</xm:f>
          </x14:formula1>
          <xm:sqref>P6:R7</xm:sqref>
        </x14:dataValidation>
        <x14:dataValidation type="list" allowBlank="1" showInputMessage="1" showErrorMessage="1" xr:uid="{00000000-0002-0000-0200-000009000000}">
          <x14:formula1>
            <xm:f>'price and cost sheet'!$C$111:$C$209</xm:f>
          </x14:formula1>
          <xm:sqref>F11:G31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0"/>
  </sheetPr>
  <dimension ref="A1:T102"/>
  <sheetViews>
    <sheetView view="pageBreakPreview" topLeftCell="A61" zoomScaleNormal="115" workbookViewId="0">
      <selection activeCell="K33" sqref="K33"/>
    </sheetView>
  </sheetViews>
  <sheetFormatPr defaultColWidth="9" defaultRowHeight="11.4"/>
  <cols>
    <col min="1" max="1" width="4.5" style="130" customWidth="1"/>
    <col min="2" max="2" width="9.5" style="130" customWidth="1"/>
    <col min="3" max="3" width="10.69921875" style="130" customWidth="1"/>
    <col min="4" max="4" width="6.09765625" style="130" customWidth="1"/>
    <col min="5" max="5" width="8.5" style="130" customWidth="1"/>
    <col min="6" max="6" width="15.19921875" style="130"/>
    <col min="7" max="7" width="9.5" style="130"/>
    <col min="8" max="8" width="7.8984375" style="130" customWidth="1"/>
    <col min="9" max="9" width="12.09765625" style="130" customWidth="1"/>
    <col min="10" max="10" width="13" style="130" customWidth="1"/>
    <col min="11" max="11" width="14.59765625" style="130" customWidth="1"/>
    <col min="12" max="17" width="9" style="130"/>
    <col min="18" max="18" width="10.59765625" style="130" hidden="1" customWidth="1"/>
    <col min="19" max="16384" width="9" style="130"/>
  </cols>
  <sheetData>
    <row r="1" spans="1:18" ht="29.25" customHeight="1">
      <c r="A1" s="373"/>
      <c r="B1" s="374"/>
      <c r="K1"/>
    </row>
    <row r="2" spans="1:18" s="128" customFormat="1" ht="20.399999999999999">
      <c r="A2" s="375" t="s">
        <v>486</v>
      </c>
      <c r="B2" s="375"/>
      <c r="C2" s="375"/>
      <c r="D2" s="375"/>
      <c r="E2" s="375"/>
      <c r="F2" s="375"/>
      <c r="G2" s="375"/>
      <c r="H2" s="375"/>
      <c r="I2" s="375"/>
      <c r="J2" s="375"/>
      <c r="K2"/>
    </row>
    <row r="3" spans="1:18" s="128" customFormat="1" ht="22.8">
      <c r="A3" s="376" t="s">
        <v>487</v>
      </c>
      <c r="B3" s="377"/>
      <c r="C3" s="377"/>
      <c r="D3" s="377"/>
      <c r="E3" s="377"/>
      <c r="F3" s="377"/>
      <c r="G3" s="377"/>
      <c r="H3" s="377"/>
      <c r="I3" s="377"/>
      <c r="J3" s="377"/>
      <c r="K3"/>
    </row>
    <row r="4" spans="1:18" ht="30" customHeight="1">
      <c r="A4" s="149" t="s">
        <v>488</v>
      </c>
      <c r="B4" s="366"/>
      <c r="C4" s="367"/>
      <c r="D4" s="368" t="s">
        <v>489</v>
      </c>
      <c r="E4" s="369"/>
      <c r="F4" s="133"/>
      <c r="G4" s="368" t="s">
        <v>490</v>
      </c>
      <c r="H4" s="369"/>
      <c r="I4" s="366"/>
      <c r="J4" s="367"/>
      <c r="K4" s="164" t="s">
        <v>491</v>
      </c>
    </row>
    <row r="5" spans="1:18" s="129" customFormat="1" ht="18.75" customHeight="1">
      <c r="A5" s="364" t="s">
        <v>492</v>
      </c>
      <c r="B5" s="347" t="s">
        <v>493</v>
      </c>
      <c r="C5" s="349"/>
      <c r="D5" s="347" t="s">
        <v>494</v>
      </c>
      <c r="E5" s="348"/>
      <c r="F5" s="349"/>
      <c r="G5" s="370" t="s">
        <v>495</v>
      </c>
      <c r="H5" s="371"/>
      <c r="I5" s="371"/>
      <c r="J5" s="372"/>
      <c r="K5" s="345" t="s">
        <v>496</v>
      </c>
    </row>
    <row r="6" spans="1:18" s="129" customFormat="1" ht="22.5" customHeight="1">
      <c r="A6" s="365"/>
      <c r="B6" s="134" t="s">
        <v>497</v>
      </c>
      <c r="C6" s="134" t="s">
        <v>498</v>
      </c>
      <c r="D6" s="350"/>
      <c r="E6" s="351"/>
      <c r="F6" s="352"/>
      <c r="G6" s="135" t="s">
        <v>499</v>
      </c>
      <c r="H6" s="135" t="s">
        <v>500</v>
      </c>
      <c r="I6" s="135" t="s">
        <v>501</v>
      </c>
      <c r="J6" s="135" t="s">
        <v>502</v>
      </c>
      <c r="K6" s="346"/>
    </row>
    <row r="7" spans="1:18" ht="21.9" customHeight="1">
      <c r="A7" s="169">
        <v>1</v>
      </c>
      <c r="B7" s="137"/>
      <c r="C7" s="137"/>
      <c r="D7" s="358"/>
      <c r="E7" s="359"/>
      <c r="F7" s="360"/>
      <c r="G7" s="138"/>
      <c r="H7" s="139" t="str">
        <f>IF(OR(D7="",D7=""),"",VLOOKUP(D7,'price and cost sheet'!B:F,3,0))</f>
        <v/>
      </c>
      <c r="I7" s="157" t="s">
        <v>503</v>
      </c>
      <c r="J7" s="158" t="str">
        <f t="shared" ref="J7:J34" si="0">IF(OR(D7="",G7=""),"",G7*I7)</f>
        <v/>
      </c>
      <c r="K7" s="153" t="str">
        <f>IF(OR(D7="",D7=""),"",VLOOKUP(D7,'price and cost sheet'!B:F,5,0))</f>
        <v/>
      </c>
      <c r="R7" s="184" t="str">
        <f>IF(OR(D7="",D7=""),"",VLOOKUP(D7,'price and cost sheet'!$B:$F,4,0))</f>
        <v/>
      </c>
    </row>
    <row r="8" spans="1:18" ht="21.9" customHeight="1">
      <c r="A8" s="169">
        <v>2</v>
      </c>
      <c r="B8" s="137"/>
      <c r="C8" s="137"/>
      <c r="D8" s="358"/>
      <c r="E8" s="359"/>
      <c r="F8" s="360"/>
      <c r="G8" s="138"/>
      <c r="H8" s="139" t="str">
        <f>IF(OR(D8="",D8=""),"",VLOOKUP(D8,'price and cost sheet'!B:F,3,0))</f>
        <v/>
      </c>
      <c r="I8" s="157" t="s">
        <v>503</v>
      </c>
      <c r="J8" s="158" t="str">
        <f t="shared" si="0"/>
        <v/>
      </c>
      <c r="K8" s="153" t="str">
        <f>IF(OR(D8="",D8=""),"",VLOOKUP(D8,'price and cost sheet'!B:F,5,0))</f>
        <v/>
      </c>
      <c r="R8" s="184" t="str">
        <f>IF(OR(D8="",D8=""),"",VLOOKUP(D8,'price and cost sheet'!$B:$F,4,0))</f>
        <v/>
      </c>
    </row>
    <row r="9" spans="1:18" ht="21.9" customHeight="1">
      <c r="A9" s="169">
        <v>3</v>
      </c>
      <c r="B9" s="137"/>
      <c r="C9" s="145"/>
      <c r="D9" s="358"/>
      <c r="E9" s="359"/>
      <c r="F9" s="360"/>
      <c r="G9" s="138"/>
      <c r="H9" s="139" t="str">
        <f>IF(OR(D9="",D9=""),"",VLOOKUP(D9,'price and cost sheet'!B:F,3,0))</f>
        <v/>
      </c>
      <c r="I9" s="157" t="s">
        <v>503</v>
      </c>
      <c r="J9" s="158" t="str">
        <f t="shared" si="0"/>
        <v/>
      </c>
      <c r="K9" s="153" t="str">
        <f>IF(OR(D9="",D9=""),"",VLOOKUP(D9,'price and cost sheet'!B:F,5,0))</f>
        <v/>
      </c>
      <c r="R9" s="184" t="str">
        <f>IF(OR(D9="",D9=""),"",VLOOKUP(D9,'price and cost sheet'!$B:$F,4,0))</f>
        <v/>
      </c>
    </row>
    <row r="10" spans="1:18" ht="21.9" customHeight="1">
      <c r="A10" s="169">
        <v>4</v>
      </c>
      <c r="B10" s="137"/>
      <c r="C10" s="145"/>
      <c r="D10" s="358"/>
      <c r="E10" s="359"/>
      <c r="F10" s="360"/>
      <c r="G10" s="138"/>
      <c r="H10" s="139" t="str">
        <f>IF(OR(D10="",D10=""),"",VLOOKUP(D10,'price and cost sheet'!B:F,3,0))</f>
        <v/>
      </c>
      <c r="I10" s="157" t="s">
        <v>503</v>
      </c>
      <c r="J10" s="158" t="str">
        <f t="shared" si="0"/>
        <v/>
      </c>
      <c r="K10" s="153" t="str">
        <f>IF(OR(D10="",D10=""),"",VLOOKUP(D10,'price and cost sheet'!B:F,5,0))</f>
        <v/>
      </c>
      <c r="R10" s="184" t="str">
        <f>IF(OR(D10="",D10=""),"",VLOOKUP(D10,'price and cost sheet'!$B:$F,4,0))</f>
        <v/>
      </c>
    </row>
    <row r="11" spans="1:18" ht="21.9" customHeight="1">
      <c r="A11" s="169">
        <v>5</v>
      </c>
      <c r="B11" s="137"/>
      <c r="C11" s="145"/>
      <c r="D11" s="358"/>
      <c r="E11" s="359"/>
      <c r="F11" s="360"/>
      <c r="G11" s="138"/>
      <c r="H11" s="139" t="str">
        <f>IF(OR(D11="",D11=""),"",VLOOKUP(D11,'price and cost sheet'!B:F,3,0))</f>
        <v/>
      </c>
      <c r="I11" s="157" t="s">
        <v>503</v>
      </c>
      <c r="J11" s="158" t="str">
        <f t="shared" si="0"/>
        <v/>
      </c>
      <c r="K11" s="153" t="str">
        <f>IF(OR(D11="",D11=""),"",VLOOKUP(D11,'price and cost sheet'!B:F,5,0))</f>
        <v/>
      </c>
      <c r="N11" s="161"/>
      <c r="O11" s="161"/>
      <c r="R11" s="184" t="str">
        <f>IF(OR(D11="",D11=""),"",VLOOKUP(D11,'price and cost sheet'!$B:$F,4,0))</f>
        <v/>
      </c>
    </row>
    <row r="12" spans="1:18" ht="21.9" customHeight="1">
      <c r="A12" s="169">
        <v>6</v>
      </c>
      <c r="B12" s="140"/>
      <c r="C12" s="178"/>
      <c r="D12" s="358"/>
      <c r="E12" s="359"/>
      <c r="F12" s="360"/>
      <c r="G12" s="138"/>
      <c r="H12" s="139" t="str">
        <f>IF(OR(D12="",D12=""),"",VLOOKUP(D12,'price and cost sheet'!B:F,3,0))</f>
        <v/>
      </c>
      <c r="I12" s="157" t="s">
        <v>503</v>
      </c>
      <c r="J12" s="158" t="str">
        <f t="shared" si="0"/>
        <v/>
      </c>
      <c r="K12" s="153" t="str">
        <f>IF(OR(D12="",D12=""),"",VLOOKUP(D12,'price and cost sheet'!B:F,5,0))</f>
        <v/>
      </c>
      <c r="N12" s="183"/>
      <c r="O12" s="161"/>
      <c r="R12" s="184" t="str">
        <f>IF(OR(D12="",D12=""),"",VLOOKUP(D12,'price and cost sheet'!$B:$F,4,0))</f>
        <v/>
      </c>
    </row>
    <row r="13" spans="1:18" ht="21.9" customHeight="1">
      <c r="A13" s="169">
        <v>7</v>
      </c>
      <c r="B13" s="140"/>
      <c r="C13" s="178"/>
      <c r="D13" s="358"/>
      <c r="E13" s="359"/>
      <c r="F13" s="360"/>
      <c r="G13" s="138"/>
      <c r="H13" s="139" t="str">
        <f>IF(OR(D13="",D13=""),"",VLOOKUP(D13,'price and cost sheet'!B:F,3,0))</f>
        <v/>
      </c>
      <c r="I13" s="157" t="s">
        <v>503</v>
      </c>
      <c r="J13" s="158" t="str">
        <f t="shared" si="0"/>
        <v/>
      </c>
      <c r="K13" s="153" t="str">
        <f>IF(OR(D13="",D13=""),"",VLOOKUP(D13,'price and cost sheet'!B:F,5,0))</f>
        <v/>
      </c>
      <c r="N13" s="161"/>
      <c r="O13" s="161"/>
      <c r="R13" s="184" t="str">
        <f>IF(OR(D13="",D13=""),"",VLOOKUP(D13,'price and cost sheet'!$B:$F,4,0))</f>
        <v/>
      </c>
    </row>
    <row r="14" spans="1:18" ht="21.9" customHeight="1">
      <c r="A14" s="169">
        <v>8</v>
      </c>
      <c r="B14" s="137"/>
      <c r="C14" s="145"/>
      <c r="D14" s="358"/>
      <c r="E14" s="359"/>
      <c r="F14" s="360"/>
      <c r="G14" s="166"/>
      <c r="H14" s="139" t="str">
        <f>IF(OR(D14="",D14=""),"",VLOOKUP(D14,'price and cost sheet'!B:F,3,0))</f>
        <v/>
      </c>
      <c r="I14" s="157" t="s">
        <v>503</v>
      </c>
      <c r="J14" s="158" t="str">
        <f t="shared" si="0"/>
        <v/>
      </c>
      <c r="K14" s="153" t="str">
        <f>IF(OR(D14="",D14=""),"",VLOOKUP(D14,'price and cost sheet'!B:F,5,0))</f>
        <v/>
      </c>
      <c r="N14" s="161"/>
      <c r="O14" s="161"/>
      <c r="R14" s="184" t="str">
        <f>IF(OR(D14="",D14=""),"",VLOOKUP(D14,'price and cost sheet'!$B:$F,4,0))</f>
        <v/>
      </c>
    </row>
    <row r="15" spans="1:18" ht="21.9" customHeight="1">
      <c r="A15" s="169">
        <v>9</v>
      </c>
      <c r="B15" s="137"/>
      <c r="C15" s="145"/>
      <c r="D15" s="358"/>
      <c r="E15" s="359"/>
      <c r="F15" s="360"/>
      <c r="G15" s="166"/>
      <c r="H15" s="139" t="str">
        <f>IF(OR(D15="",D15=""),"",VLOOKUP(D15,'price and cost sheet'!B:F,3,0))</f>
        <v/>
      </c>
      <c r="I15" s="157" t="s">
        <v>503</v>
      </c>
      <c r="J15" s="158" t="str">
        <f t="shared" si="0"/>
        <v/>
      </c>
      <c r="K15" s="153" t="str">
        <f>IF(OR(D15="",D15=""),"",VLOOKUP(D15,'price and cost sheet'!B:F,5,0))</f>
        <v/>
      </c>
      <c r="R15" s="184" t="str">
        <f>IF(OR(D15="",D15=""),"",VLOOKUP(D15,'price and cost sheet'!$B:$F,4,0))</f>
        <v/>
      </c>
    </row>
    <row r="16" spans="1:18" ht="21.9" customHeight="1">
      <c r="A16" s="169">
        <v>10</v>
      </c>
      <c r="B16" s="137"/>
      <c r="C16" s="145"/>
      <c r="D16" s="358"/>
      <c r="E16" s="359"/>
      <c r="F16" s="360"/>
      <c r="G16" s="138"/>
      <c r="H16" s="139" t="str">
        <f>IF(OR(D16="",D16=""),"",VLOOKUP(D16,'price and cost sheet'!B:F,3,0))</f>
        <v/>
      </c>
      <c r="I16" s="157" t="s">
        <v>503</v>
      </c>
      <c r="J16" s="158" t="str">
        <f t="shared" si="0"/>
        <v/>
      </c>
      <c r="K16" s="153" t="str">
        <f>IF(OR(D16="",D16=""),"",VLOOKUP(D16,'price and cost sheet'!B:F,5,0))</f>
        <v/>
      </c>
      <c r="R16" s="184" t="str">
        <f>IF(OR(D16="",D16=""),"",VLOOKUP(D16,'price and cost sheet'!$B:$F,4,0))</f>
        <v/>
      </c>
    </row>
    <row r="17" spans="1:18" ht="21.9" customHeight="1">
      <c r="A17" s="169">
        <v>11</v>
      </c>
      <c r="B17" s="141"/>
      <c r="C17" s="142"/>
      <c r="D17" s="358"/>
      <c r="E17" s="359"/>
      <c r="F17" s="360"/>
      <c r="G17" s="138"/>
      <c r="H17" s="139" t="str">
        <f>IF(OR(D17="",D17=""),"",VLOOKUP(D17,'price and cost sheet'!B:F,3,0))</f>
        <v/>
      </c>
      <c r="I17" s="157" t="s">
        <v>503</v>
      </c>
      <c r="J17" s="158" t="str">
        <f t="shared" si="0"/>
        <v/>
      </c>
      <c r="K17" s="153" t="str">
        <f>IF(OR(D17="",D17=""),"",VLOOKUP(D17,'price and cost sheet'!B:F,5,0))</f>
        <v/>
      </c>
      <c r="R17" s="184" t="str">
        <f>IF(OR(D17="",D17=""),"",VLOOKUP(D17,'price and cost sheet'!$B:$F,4,0))</f>
        <v/>
      </c>
    </row>
    <row r="18" spans="1:18" ht="21.9" customHeight="1">
      <c r="A18" s="169">
        <v>12</v>
      </c>
      <c r="B18" s="141"/>
      <c r="C18" s="142"/>
      <c r="D18" s="358"/>
      <c r="E18" s="359"/>
      <c r="F18" s="360"/>
      <c r="G18" s="138"/>
      <c r="H18" s="139" t="str">
        <f>IF(OR(D18="",D18=""),"",VLOOKUP(D18,'price and cost sheet'!B:F,3,0))</f>
        <v/>
      </c>
      <c r="I18" s="157" t="s">
        <v>503</v>
      </c>
      <c r="J18" s="158" t="str">
        <f t="shared" si="0"/>
        <v/>
      </c>
      <c r="K18" s="153" t="str">
        <f>IF(OR(D18="",D18=""),"",VLOOKUP(D18,'price and cost sheet'!B:F,5,0))</f>
        <v/>
      </c>
      <c r="R18" s="184" t="str">
        <f>IF(OR(D18="",D18=""),"",VLOOKUP(D18,'price and cost sheet'!$B:$F,4,0))</f>
        <v/>
      </c>
    </row>
    <row r="19" spans="1:18" ht="21.9" customHeight="1">
      <c r="A19" s="169">
        <v>13</v>
      </c>
      <c r="B19" s="141"/>
      <c r="C19" s="142"/>
      <c r="D19" s="358"/>
      <c r="E19" s="359"/>
      <c r="F19" s="360"/>
      <c r="G19" s="138"/>
      <c r="H19" s="139" t="str">
        <f>IF(OR(D19="",D19=""),"",VLOOKUP(D19,'price and cost sheet'!B:F,3,0))</f>
        <v/>
      </c>
      <c r="I19" s="157" t="s">
        <v>503</v>
      </c>
      <c r="J19" s="158" t="str">
        <f t="shared" si="0"/>
        <v/>
      </c>
      <c r="K19" s="153" t="str">
        <f>IF(OR(D19="",D19=""),"",VLOOKUP(D19,'price and cost sheet'!B:F,5,0))</f>
        <v/>
      </c>
      <c r="R19" s="184" t="str">
        <f>IF(OR(D19="",D19=""),"",VLOOKUP(D19,'price and cost sheet'!$B:$F,4,0))</f>
        <v/>
      </c>
    </row>
    <row r="20" spans="1:18" ht="21.9" customHeight="1">
      <c r="A20" s="169">
        <v>14</v>
      </c>
      <c r="B20" s="141"/>
      <c r="C20" s="142"/>
      <c r="D20" s="358"/>
      <c r="E20" s="359"/>
      <c r="F20" s="360"/>
      <c r="G20" s="138"/>
      <c r="H20" s="139" t="str">
        <f>IF(OR(D20="",D20=""),"",VLOOKUP(D20,'price and cost sheet'!B:F,3,0))</f>
        <v/>
      </c>
      <c r="I20" s="157" t="s">
        <v>503</v>
      </c>
      <c r="J20" s="158" t="str">
        <f t="shared" si="0"/>
        <v/>
      </c>
      <c r="K20" s="153" t="str">
        <f>IF(OR(D20="",D20=""),"",VLOOKUP(D20,'price and cost sheet'!B:F,5,0))</f>
        <v/>
      </c>
      <c r="R20" s="184" t="str">
        <f>IF(OR(D20="",D20=""),"",VLOOKUP(D20,'price and cost sheet'!$B:$F,4,0))</f>
        <v/>
      </c>
    </row>
    <row r="21" spans="1:18" ht="21.9" customHeight="1">
      <c r="A21" s="169">
        <v>15</v>
      </c>
      <c r="B21" s="179"/>
      <c r="C21" s="142"/>
      <c r="D21" s="358"/>
      <c r="E21" s="359"/>
      <c r="F21" s="360"/>
      <c r="G21" s="138"/>
      <c r="H21" s="139" t="str">
        <f>IF(OR(D21="",D21=""),"",VLOOKUP(D21,'price and cost sheet'!B:F,3,0))</f>
        <v/>
      </c>
      <c r="I21" s="157" t="s">
        <v>503</v>
      </c>
      <c r="J21" s="158" t="str">
        <f t="shared" si="0"/>
        <v/>
      </c>
      <c r="K21" s="153" t="str">
        <f>IF(OR(D21="",D21=""),"",VLOOKUP(D21,'price and cost sheet'!B:F,5,0))</f>
        <v/>
      </c>
      <c r="R21" s="184" t="str">
        <f>IF(OR(D21="",D21=""),"",VLOOKUP(D21,'price and cost sheet'!$B:$F,4,0))</f>
        <v/>
      </c>
    </row>
    <row r="22" spans="1:18" ht="21.9" customHeight="1">
      <c r="A22" s="169">
        <v>16</v>
      </c>
      <c r="B22" s="179"/>
      <c r="C22" s="142"/>
      <c r="D22" s="358"/>
      <c r="E22" s="359"/>
      <c r="F22" s="360"/>
      <c r="G22" s="138"/>
      <c r="H22" s="139" t="str">
        <f>IF(OR(D22="",D22=""),"",VLOOKUP(D22,'price and cost sheet'!B:F,3,0))</f>
        <v/>
      </c>
      <c r="I22" s="157" t="s">
        <v>503</v>
      </c>
      <c r="J22" s="158" t="str">
        <f t="shared" si="0"/>
        <v/>
      </c>
      <c r="K22" s="153" t="str">
        <f>IF(OR(D22="",D22=""),"",VLOOKUP(D22,'price and cost sheet'!B:F,5,0))</f>
        <v/>
      </c>
      <c r="R22" s="184" t="str">
        <f>IF(OR(D22="",D22=""),"",VLOOKUP(D22,'price and cost sheet'!$B:$F,4,0))</f>
        <v/>
      </c>
    </row>
    <row r="23" spans="1:18" ht="21.9" customHeight="1">
      <c r="A23" s="169">
        <v>17</v>
      </c>
      <c r="B23" s="141"/>
      <c r="C23" s="142"/>
      <c r="D23" s="358"/>
      <c r="E23" s="359"/>
      <c r="F23" s="360"/>
      <c r="G23" s="180"/>
      <c r="H23" s="139" t="str">
        <f>IF(OR(D23="",D23=""),"",VLOOKUP(D23,'price and cost sheet'!B:F,3,0))</f>
        <v/>
      </c>
      <c r="I23" s="157" t="s">
        <v>503</v>
      </c>
      <c r="J23" s="158" t="str">
        <f t="shared" si="0"/>
        <v/>
      </c>
      <c r="K23" s="153" t="str">
        <f>IF(OR(D23="",D23=""),"",VLOOKUP(D23,'price and cost sheet'!B:F,5,0))</f>
        <v/>
      </c>
      <c r="R23" s="184" t="str">
        <f>IF(OR(D23="",D23=""),"",VLOOKUP(D23,'price and cost sheet'!$B:$F,4,0))</f>
        <v/>
      </c>
    </row>
    <row r="24" spans="1:18" ht="21.9" customHeight="1">
      <c r="A24" s="169">
        <v>18</v>
      </c>
      <c r="B24" s="141"/>
      <c r="C24" s="142"/>
      <c r="D24" s="358"/>
      <c r="E24" s="359"/>
      <c r="F24" s="360"/>
      <c r="G24" s="180"/>
      <c r="H24" s="139" t="str">
        <f>IF(OR(D24="",D24=""),"",VLOOKUP(D24,'price and cost sheet'!B:F,3,0))</f>
        <v/>
      </c>
      <c r="I24" s="157" t="s">
        <v>503</v>
      </c>
      <c r="J24" s="158" t="str">
        <f t="shared" si="0"/>
        <v/>
      </c>
      <c r="K24" s="153" t="str">
        <f>IF(OR(D24="",D24=""),"",VLOOKUP(D24,'price and cost sheet'!B:F,5,0))</f>
        <v/>
      </c>
      <c r="R24" s="184" t="str">
        <f>IF(OR(D24="",D24=""),"",VLOOKUP(D24,'price and cost sheet'!$B:$F,4,0))</f>
        <v/>
      </c>
    </row>
    <row r="25" spans="1:18" ht="21.9" customHeight="1">
      <c r="A25" s="169">
        <v>19</v>
      </c>
      <c r="B25" s="141"/>
      <c r="C25" s="142"/>
      <c r="D25" s="358"/>
      <c r="E25" s="359"/>
      <c r="F25" s="360"/>
      <c r="G25" s="180"/>
      <c r="H25" s="139" t="str">
        <f>IF(OR(D25="",D25=""),"",VLOOKUP(D25,'price and cost sheet'!B:F,3,0))</f>
        <v/>
      </c>
      <c r="I25" s="157" t="s">
        <v>503</v>
      </c>
      <c r="J25" s="158" t="str">
        <f t="shared" si="0"/>
        <v/>
      </c>
      <c r="K25" s="153" t="str">
        <f>IF(OR(D25="",D25=""),"",VLOOKUP(D25,'price and cost sheet'!B:F,5,0))</f>
        <v/>
      </c>
      <c r="R25" s="184" t="str">
        <f>IF(OR(D25="",D25=""),"",VLOOKUP(D25,'price and cost sheet'!$B:$F,4,0))</f>
        <v/>
      </c>
    </row>
    <row r="26" spans="1:18" ht="21.9" customHeight="1">
      <c r="A26" s="169">
        <v>20</v>
      </c>
      <c r="B26" s="141"/>
      <c r="C26" s="142"/>
      <c r="D26" s="358"/>
      <c r="E26" s="359"/>
      <c r="F26" s="360"/>
      <c r="G26" s="180"/>
      <c r="H26" s="139" t="str">
        <f>IF(OR(D26="",D26=""),"",VLOOKUP(D26,'price and cost sheet'!B:F,3,0))</f>
        <v/>
      </c>
      <c r="I26" s="157" t="s">
        <v>503</v>
      </c>
      <c r="J26" s="158" t="str">
        <f t="shared" si="0"/>
        <v/>
      </c>
      <c r="K26" s="153" t="str">
        <f>IF(OR(D26="",D26=""),"",VLOOKUP(D26,'price and cost sheet'!B:F,5,0))</f>
        <v/>
      </c>
      <c r="R26" s="184" t="str">
        <f>IF(OR(D26="",D26=""),"",VLOOKUP(D26,'price and cost sheet'!$B:$F,4,0))</f>
        <v/>
      </c>
    </row>
    <row r="27" spans="1:18" ht="21.9" customHeight="1">
      <c r="A27" s="169">
        <v>21</v>
      </c>
      <c r="B27" s="137"/>
      <c r="C27" s="145"/>
      <c r="D27" s="378"/>
      <c r="E27" s="379"/>
      <c r="F27" s="380"/>
      <c r="G27" s="181"/>
      <c r="H27" s="139" t="str">
        <f>IF(OR(D27="",D27=""),"",VLOOKUP(D27,'price and cost sheet'!B:F,3,0))</f>
        <v/>
      </c>
      <c r="I27" s="157" t="s">
        <v>503</v>
      </c>
      <c r="J27" s="158" t="str">
        <f t="shared" si="0"/>
        <v/>
      </c>
      <c r="K27" s="153" t="str">
        <f>IF(OR(D27="",D27=""),"",VLOOKUP(D27,'price and cost sheet'!B:F,5,0))</f>
        <v/>
      </c>
      <c r="R27" s="184" t="str">
        <f>IF(OR(D27="",D27=""),"",VLOOKUP(D27,'price and cost sheet'!$B:$F,4,0))</f>
        <v/>
      </c>
    </row>
    <row r="28" spans="1:18" ht="21.9" customHeight="1">
      <c r="A28" s="169">
        <v>22</v>
      </c>
      <c r="B28" s="137"/>
      <c r="C28" s="145"/>
      <c r="D28" s="378"/>
      <c r="E28" s="379"/>
      <c r="F28" s="380"/>
      <c r="G28" s="181"/>
      <c r="H28" s="139" t="str">
        <f>IF(OR(D28="",D28=""),"",VLOOKUP(D28,'price and cost sheet'!B:F,3,0))</f>
        <v/>
      </c>
      <c r="I28" s="157" t="s">
        <v>503</v>
      </c>
      <c r="J28" s="158" t="str">
        <f t="shared" si="0"/>
        <v/>
      </c>
      <c r="K28" s="153" t="str">
        <f>IF(OR(D28="",D28=""),"",VLOOKUP(D28,'price and cost sheet'!B:F,5,0))</f>
        <v/>
      </c>
      <c r="R28" s="184" t="str">
        <f>IF(OR(D28="",D28=""),"",VLOOKUP(D28,'price and cost sheet'!$B:$F,4,0))</f>
        <v/>
      </c>
    </row>
    <row r="29" spans="1:18" ht="21.9" customHeight="1">
      <c r="A29" s="169">
        <v>23</v>
      </c>
      <c r="B29" s="137"/>
      <c r="C29" s="145"/>
      <c r="D29" s="378"/>
      <c r="E29" s="379"/>
      <c r="F29" s="380"/>
      <c r="G29" s="181"/>
      <c r="H29" s="139" t="str">
        <f>IF(OR(D29="",D29=""),"",VLOOKUP(D29,'price and cost sheet'!B:F,3,0))</f>
        <v/>
      </c>
      <c r="I29" s="157" t="s">
        <v>503</v>
      </c>
      <c r="J29" s="158" t="str">
        <f t="shared" si="0"/>
        <v/>
      </c>
      <c r="K29" s="153" t="str">
        <f>IF(OR(D29="",D29=""),"",VLOOKUP(D29,'price and cost sheet'!B:F,5,0))</f>
        <v/>
      </c>
      <c r="R29" s="184" t="str">
        <f>IF(OR(D29="",D29=""),"",VLOOKUP(D29,'price and cost sheet'!$B:$F,4,0))</f>
        <v/>
      </c>
    </row>
    <row r="30" spans="1:18" ht="21.9" customHeight="1">
      <c r="A30" s="169">
        <v>24</v>
      </c>
      <c r="B30" s="137"/>
      <c r="C30" s="145"/>
      <c r="D30" s="378"/>
      <c r="E30" s="379"/>
      <c r="F30" s="380"/>
      <c r="G30" s="181"/>
      <c r="H30" s="139" t="str">
        <f>IF(OR(D30="",D30=""),"",VLOOKUP(D30,'price and cost sheet'!B:F,3,0))</f>
        <v/>
      </c>
      <c r="I30" s="157" t="s">
        <v>503</v>
      </c>
      <c r="J30" s="158" t="str">
        <f t="shared" si="0"/>
        <v/>
      </c>
      <c r="K30" s="153" t="str">
        <f>IF(OR(D30="",D30=""),"",VLOOKUP(D30,'price and cost sheet'!B:F,5,0))</f>
        <v/>
      </c>
      <c r="R30" s="184" t="str">
        <f>IF(OR(D30="",D30=""),"",VLOOKUP(D30,'price and cost sheet'!$B:$F,4,0))</f>
        <v/>
      </c>
    </row>
    <row r="31" spans="1:18" ht="21.9" customHeight="1">
      <c r="A31" s="169">
        <v>25</v>
      </c>
      <c r="B31" s="137"/>
      <c r="C31" s="145"/>
      <c r="D31" s="378"/>
      <c r="E31" s="379"/>
      <c r="F31" s="380"/>
      <c r="G31" s="181"/>
      <c r="H31" s="139" t="str">
        <f>IF(OR(D31="",D31=""),"",VLOOKUP(D31,'price and cost sheet'!B:F,3,0))</f>
        <v/>
      </c>
      <c r="I31" s="157" t="s">
        <v>503</v>
      </c>
      <c r="J31" s="158" t="str">
        <f t="shared" si="0"/>
        <v/>
      </c>
      <c r="K31" s="153" t="str">
        <f>IF(OR(D31="",D31=""),"",VLOOKUP(D31,'price and cost sheet'!B:F,5,0))</f>
        <v/>
      </c>
      <c r="R31" s="184" t="str">
        <f>IF(OR(D31="",D31=""),"",VLOOKUP(D31,'price and cost sheet'!$B:$F,4,0))</f>
        <v/>
      </c>
    </row>
    <row r="32" spans="1:18" ht="21.9" customHeight="1">
      <c r="A32" s="169">
        <v>26</v>
      </c>
      <c r="B32" s="182"/>
      <c r="C32" s="145"/>
      <c r="D32" s="378"/>
      <c r="E32" s="379"/>
      <c r="F32" s="380"/>
      <c r="G32" s="181"/>
      <c r="H32" s="139" t="str">
        <f>IF(OR(D32="",D32=""),"",VLOOKUP(D32,'price and cost sheet'!B:F,3,0))</f>
        <v/>
      </c>
      <c r="I32" s="157" t="s">
        <v>503</v>
      </c>
      <c r="J32" s="158" t="str">
        <f t="shared" si="0"/>
        <v/>
      </c>
      <c r="K32" s="153" t="str">
        <f>IF(OR(D32="",D32=""),"",VLOOKUP(D32,'price and cost sheet'!B:F,5,0))</f>
        <v/>
      </c>
      <c r="R32" s="184" t="str">
        <f>IF(OR(D32="",D32=""),"",VLOOKUP(D32,'price and cost sheet'!$B:$F,4,0))</f>
        <v/>
      </c>
    </row>
    <row r="33" spans="1:18" ht="21.9" customHeight="1">
      <c r="A33" s="169">
        <v>27</v>
      </c>
      <c r="B33" s="182"/>
      <c r="C33" s="145"/>
      <c r="D33" s="378"/>
      <c r="E33" s="379"/>
      <c r="F33" s="380"/>
      <c r="G33" s="181"/>
      <c r="H33" s="139" t="str">
        <f>IF(OR(D33="",D33=""),"",VLOOKUP(D33,'price and cost sheet'!B:F,3,0))</f>
        <v/>
      </c>
      <c r="I33" s="157" t="s">
        <v>503</v>
      </c>
      <c r="J33" s="158" t="str">
        <f t="shared" si="0"/>
        <v/>
      </c>
      <c r="K33" s="153" t="str">
        <f>IF(OR(D33="",D33=""),"",VLOOKUP(D33,'price and cost sheet'!B:F,5,0))</f>
        <v/>
      </c>
      <c r="R33" s="184" t="str">
        <f>IF(OR(D33="",D33=""),"",VLOOKUP(D33,'price and cost sheet'!$B:$F,4,0))</f>
        <v/>
      </c>
    </row>
    <row r="34" spans="1:18" ht="21.9" customHeight="1">
      <c r="A34" s="169">
        <v>28</v>
      </c>
      <c r="B34" s="182"/>
      <c r="C34" s="145"/>
      <c r="D34" s="378"/>
      <c r="E34" s="379"/>
      <c r="F34" s="380"/>
      <c r="G34" s="181"/>
      <c r="H34" s="139" t="str">
        <f>IF(OR(D34="",D34=""),"",VLOOKUP(D34,'price and cost sheet'!B:F,3,0))</f>
        <v/>
      </c>
      <c r="I34" s="157" t="s">
        <v>503</v>
      </c>
      <c r="J34" s="158" t="str">
        <f t="shared" si="0"/>
        <v/>
      </c>
      <c r="K34" s="153" t="str">
        <f>IF(OR(D34="",D34=""),"",VLOOKUP(D34,'price and cost sheet'!B:F,5,0))</f>
        <v/>
      </c>
      <c r="R34" s="184" t="str">
        <f>IF(OR(D34="",D34=""),"",VLOOKUP(D34,'price and cost sheet'!$B:$F,4,0))</f>
        <v/>
      </c>
    </row>
    <row r="35" spans="1:18" ht="24" customHeight="1">
      <c r="A35" s="167"/>
      <c r="B35" s="353" t="s">
        <v>504</v>
      </c>
      <c r="C35" s="354"/>
      <c r="D35" s="355"/>
      <c r="E35" s="356"/>
      <c r="F35" s="357"/>
      <c r="G35" s="169"/>
      <c r="H35" s="167"/>
      <c r="I35" s="167"/>
      <c r="J35" s="177">
        <f>SUM(J7:J34)*0.95</f>
        <v>0</v>
      </c>
      <c r="K35" s="153"/>
    </row>
    <row r="36" spans="1:18" ht="29.25" customHeight="1">
      <c r="A36" s="373"/>
      <c r="B36" s="374"/>
      <c r="K36"/>
    </row>
    <row r="37" spans="1:18" s="128" customFormat="1" ht="20.399999999999999">
      <c r="A37" s="375" t="s">
        <v>486</v>
      </c>
      <c r="B37" s="375"/>
      <c r="C37" s="375"/>
      <c r="D37" s="375"/>
      <c r="E37" s="375"/>
      <c r="F37" s="375"/>
      <c r="G37" s="375"/>
      <c r="H37" s="375"/>
      <c r="I37" s="375"/>
      <c r="J37" s="375"/>
      <c r="K37"/>
    </row>
    <row r="38" spans="1:18" s="128" customFormat="1" ht="22.8">
      <c r="A38" s="376" t="s">
        <v>487</v>
      </c>
      <c r="B38" s="377"/>
      <c r="C38" s="377"/>
      <c r="D38" s="377"/>
      <c r="E38" s="377"/>
      <c r="F38" s="377"/>
      <c r="G38" s="377"/>
      <c r="H38" s="377"/>
      <c r="I38" s="377"/>
      <c r="J38" s="377"/>
      <c r="K38"/>
    </row>
    <row r="39" spans="1:18" ht="30" customHeight="1">
      <c r="A39" s="149" t="s">
        <v>488</v>
      </c>
      <c r="B39" s="366"/>
      <c r="C39" s="367"/>
      <c r="D39" s="368" t="s">
        <v>489</v>
      </c>
      <c r="E39" s="369"/>
      <c r="F39" s="133"/>
      <c r="G39" s="368" t="s">
        <v>490</v>
      </c>
      <c r="H39" s="369"/>
      <c r="I39" s="366"/>
      <c r="J39" s="367"/>
      <c r="K39" s="164" t="s">
        <v>491</v>
      </c>
    </row>
    <row r="40" spans="1:18" ht="24" customHeight="1">
      <c r="A40" s="364" t="s">
        <v>492</v>
      </c>
      <c r="B40" s="347" t="s">
        <v>493</v>
      </c>
      <c r="C40" s="349"/>
      <c r="D40" s="347" t="s">
        <v>494</v>
      </c>
      <c r="E40" s="348"/>
      <c r="F40" s="349"/>
      <c r="G40" s="370" t="s">
        <v>495</v>
      </c>
      <c r="H40" s="371"/>
      <c r="I40" s="371"/>
      <c r="J40" s="372"/>
      <c r="K40" s="345" t="s">
        <v>496</v>
      </c>
    </row>
    <row r="41" spans="1:18" ht="24" customHeight="1">
      <c r="A41" s="365"/>
      <c r="B41" s="134" t="s">
        <v>497</v>
      </c>
      <c r="C41" s="134" t="s">
        <v>498</v>
      </c>
      <c r="D41" s="350"/>
      <c r="E41" s="351"/>
      <c r="F41" s="352"/>
      <c r="G41" s="135" t="s">
        <v>499</v>
      </c>
      <c r="H41" s="135" t="s">
        <v>500</v>
      </c>
      <c r="I41" s="135" t="s">
        <v>501</v>
      </c>
      <c r="J41" s="135" t="s">
        <v>502</v>
      </c>
      <c r="K41" s="346"/>
    </row>
    <row r="42" spans="1:18" ht="24" customHeight="1">
      <c r="A42" s="151">
        <v>1</v>
      </c>
      <c r="B42" s="137"/>
      <c r="C42" s="137"/>
      <c r="D42" s="361"/>
      <c r="E42" s="362"/>
      <c r="F42" s="363"/>
      <c r="G42" s="152"/>
      <c r="H42" s="153" t="str">
        <f>IF(OR(D42="",D42=""),"",VLOOKUP(D42,'price and cost sheet'!C:F,2,0))</f>
        <v/>
      </c>
      <c r="I42" s="157" t="s">
        <v>503</v>
      </c>
      <c r="J42" s="158" t="str">
        <f t="shared" ref="J42:J81" si="1">IF(OR(D42="",G42=""),"",G42*I42)</f>
        <v/>
      </c>
      <c r="K42" s="153" t="str">
        <f>IF(OR(D42="",D42=""),"",VLOOKUP(D42,'price and cost sheet'!C:F,4,0))</f>
        <v/>
      </c>
      <c r="N42" s="165"/>
      <c r="R42" s="184" t="str">
        <f>IF(OR(D42="",D42=""),"",VLOOKUP(D42,'price and cost sheet'!$C:$F,3,0))</f>
        <v/>
      </c>
    </row>
    <row r="43" spans="1:18" ht="24" customHeight="1">
      <c r="A43" s="151">
        <v>2</v>
      </c>
      <c r="B43" s="137"/>
      <c r="C43" s="137"/>
      <c r="D43" s="361"/>
      <c r="E43" s="362"/>
      <c r="F43" s="363"/>
      <c r="G43" s="152"/>
      <c r="H43" s="153" t="str">
        <f>IF(OR(D43="",D43=""),"",VLOOKUP(D43,'price and cost sheet'!C:F,2,0))</f>
        <v/>
      </c>
      <c r="I43" s="157" t="s">
        <v>503</v>
      </c>
      <c r="J43" s="158" t="str">
        <f t="shared" si="1"/>
        <v/>
      </c>
      <c r="K43" s="153" t="str">
        <f>IF(OR(D43="",D43=""),"",VLOOKUP(D43,'price and cost sheet'!C:F,4,0))</f>
        <v/>
      </c>
      <c r="N43" s="165"/>
      <c r="R43" s="184" t="str">
        <f>IF(OR(D43="",D43=""),"",VLOOKUP(D43,'price and cost sheet'!$C:$F,3,0))</f>
        <v/>
      </c>
    </row>
    <row r="44" spans="1:18" ht="24" customHeight="1">
      <c r="A44" s="151">
        <v>3</v>
      </c>
      <c r="B44" s="137"/>
      <c r="C44" s="137"/>
      <c r="D44" s="358"/>
      <c r="E44" s="359"/>
      <c r="F44" s="360"/>
      <c r="G44" s="152"/>
      <c r="H44" s="153" t="str">
        <f>IF(OR(D44="",D44=""),"",VLOOKUP(D44,'price and cost sheet'!C:F,2,0))</f>
        <v/>
      </c>
      <c r="I44" s="157" t="s">
        <v>503</v>
      </c>
      <c r="J44" s="158" t="str">
        <f t="shared" si="1"/>
        <v/>
      </c>
      <c r="K44" s="153" t="str">
        <f>IF(OR(D44="",D44=""),"",VLOOKUP(D44,'price and cost sheet'!C:F,4,0))</f>
        <v/>
      </c>
      <c r="N44" s="165"/>
      <c r="O44" s="161"/>
      <c r="R44" s="184" t="str">
        <f>IF(OR(D44="",D44=""),"",VLOOKUP(D44,'price and cost sheet'!$C:$F,3,0))</f>
        <v/>
      </c>
    </row>
    <row r="45" spans="1:18" ht="24" customHeight="1">
      <c r="A45" s="151">
        <v>4</v>
      </c>
      <c r="B45" s="137"/>
      <c r="C45" s="137"/>
      <c r="D45" s="358"/>
      <c r="E45" s="359"/>
      <c r="F45" s="360"/>
      <c r="G45" s="152"/>
      <c r="H45" s="153" t="str">
        <f>IF(OR(D45="",D45=""),"",VLOOKUP(D45,'price and cost sheet'!C:F,2,0))</f>
        <v/>
      </c>
      <c r="I45" s="157" t="s">
        <v>503</v>
      </c>
      <c r="J45" s="158" t="str">
        <f t="shared" si="1"/>
        <v/>
      </c>
      <c r="K45" s="153" t="str">
        <f>IF(OR(D45="",D45=""),"",VLOOKUP(D45,'price and cost sheet'!C:F,4,0))</f>
        <v/>
      </c>
      <c r="N45" s="165"/>
      <c r="R45" s="184" t="str">
        <f>IF(OR(D45="",D45=""),"",VLOOKUP(D45,'price and cost sheet'!$C:$F,3,0))</f>
        <v/>
      </c>
    </row>
    <row r="46" spans="1:18" ht="24" customHeight="1">
      <c r="A46" s="151">
        <v>5</v>
      </c>
      <c r="B46" s="137"/>
      <c r="C46" s="137"/>
      <c r="D46" s="358"/>
      <c r="E46" s="359"/>
      <c r="F46" s="360"/>
      <c r="G46" s="138"/>
      <c r="H46" s="153" t="str">
        <f>IF(OR(D46="",D46=""),"",VLOOKUP(D46,'price and cost sheet'!C:F,2,0))</f>
        <v/>
      </c>
      <c r="I46" s="157" t="s">
        <v>503</v>
      </c>
      <c r="J46" s="158" t="str">
        <f t="shared" si="1"/>
        <v/>
      </c>
      <c r="K46" s="153" t="str">
        <f>IF(OR(D46="",D46=""),"",VLOOKUP(D46,'price and cost sheet'!C:F,4,0))</f>
        <v/>
      </c>
      <c r="N46" s="165"/>
      <c r="R46" s="184" t="str">
        <f>IF(OR(D46="",D46=""),"",VLOOKUP(D46,'price and cost sheet'!$C:$F,3,0))</f>
        <v/>
      </c>
    </row>
    <row r="47" spans="1:18" ht="24" customHeight="1">
      <c r="A47" s="151">
        <v>6</v>
      </c>
      <c r="B47" s="137"/>
      <c r="C47" s="137"/>
      <c r="D47" s="358"/>
      <c r="E47" s="359"/>
      <c r="F47" s="360"/>
      <c r="G47" s="138"/>
      <c r="H47" s="153" t="str">
        <f>IF(OR(D47="",D47=""),"",VLOOKUP(D47,'price and cost sheet'!C:F,2,0))</f>
        <v/>
      </c>
      <c r="I47" s="157" t="s">
        <v>503</v>
      </c>
      <c r="J47" s="158" t="str">
        <f t="shared" si="1"/>
        <v/>
      </c>
      <c r="K47" s="153" t="str">
        <f>IF(OR(D47="",D47=""),"",VLOOKUP(D47,'price and cost sheet'!C:F,4,0))</f>
        <v/>
      </c>
      <c r="N47" s="165"/>
      <c r="R47" s="184" t="str">
        <f>IF(OR(D47="",D47=""),"",VLOOKUP(D47,'price and cost sheet'!$C:$F,3,0))</f>
        <v/>
      </c>
    </row>
    <row r="48" spans="1:18" ht="24" customHeight="1">
      <c r="A48" s="151">
        <v>7</v>
      </c>
      <c r="B48" s="137"/>
      <c r="C48" s="137"/>
      <c r="D48" s="358"/>
      <c r="E48" s="359"/>
      <c r="F48" s="360"/>
      <c r="G48" s="138"/>
      <c r="H48" s="153" t="str">
        <f>IF(OR(D48="",D48=""),"",VLOOKUP(D48,'price and cost sheet'!C:F,2,0))</f>
        <v/>
      </c>
      <c r="I48" s="157" t="s">
        <v>503</v>
      </c>
      <c r="J48" s="158" t="str">
        <f t="shared" si="1"/>
        <v/>
      </c>
      <c r="K48" s="153" t="str">
        <f>IF(OR(D48="",D48=""),"",VLOOKUP(D48,'price and cost sheet'!C:F,4,0))</f>
        <v/>
      </c>
      <c r="R48" s="184" t="str">
        <f>IF(OR(D48="",D48=""),"",VLOOKUP(D48,'price and cost sheet'!$C:$F,3,0))</f>
        <v/>
      </c>
    </row>
    <row r="49" spans="1:18" ht="24" customHeight="1">
      <c r="A49" s="151">
        <v>8</v>
      </c>
      <c r="B49" s="137"/>
      <c r="C49" s="137"/>
      <c r="D49" s="358"/>
      <c r="E49" s="359"/>
      <c r="F49" s="360"/>
      <c r="G49" s="138"/>
      <c r="H49" s="153" t="str">
        <f>IF(OR(D49="",D49=""),"",VLOOKUP(D49,'price and cost sheet'!C:F,2,0))</f>
        <v/>
      </c>
      <c r="I49" s="157" t="s">
        <v>503</v>
      </c>
      <c r="J49" s="158" t="str">
        <f t="shared" si="1"/>
        <v/>
      </c>
      <c r="K49" s="153" t="str">
        <f>IF(OR(D49="",D49=""),"",VLOOKUP(D49,'price and cost sheet'!C:F,4,0))</f>
        <v/>
      </c>
      <c r="R49" s="184" t="str">
        <f>IF(OR(D49="",D49=""),"",VLOOKUP(D49,'price and cost sheet'!$C:$F,3,0))</f>
        <v/>
      </c>
    </row>
    <row r="50" spans="1:18" ht="24" customHeight="1">
      <c r="A50" s="151">
        <v>9</v>
      </c>
      <c r="B50" s="137"/>
      <c r="C50" s="137"/>
      <c r="D50" s="358"/>
      <c r="E50" s="359"/>
      <c r="F50" s="360"/>
      <c r="G50" s="166"/>
      <c r="H50" s="153" t="str">
        <f>IF(OR(D50="",D50=""),"",VLOOKUP(D50,'price and cost sheet'!C:F,2,0))</f>
        <v/>
      </c>
      <c r="I50" s="157" t="s">
        <v>503</v>
      </c>
      <c r="J50" s="158" t="str">
        <f t="shared" si="1"/>
        <v/>
      </c>
      <c r="K50" s="153" t="str">
        <f>IF(OR(D50="",D50=""),"",VLOOKUP(D50,'price and cost sheet'!C:F,4,0))</f>
        <v/>
      </c>
      <c r="R50" s="184" t="str">
        <f>IF(OR(D50="",D50=""),"",VLOOKUP(D50,'price and cost sheet'!$C:$F,3,0))</f>
        <v/>
      </c>
    </row>
    <row r="51" spans="1:18" ht="24" customHeight="1">
      <c r="A51" s="151">
        <v>10</v>
      </c>
      <c r="B51" s="137"/>
      <c r="C51" s="137"/>
      <c r="D51" s="358"/>
      <c r="E51" s="359"/>
      <c r="F51" s="360"/>
      <c r="G51" s="166"/>
      <c r="H51" s="153" t="str">
        <f>IF(OR(D51="",D51=""),"",VLOOKUP(D51,'price and cost sheet'!C:F,2,0))</f>
        <v/>
      </c>
      <c r="I51" s="157" t="s">
        <v>503</v>
      </c>
      <c r="J51" s="158" t="str">
        <f t="shared" si="1"/>
        <v/>
      </c>
      <c r="K51" s="153" t="str">
        <f>IF(OR(D51="",D51=""),"",VLOOKUP(D51,'price and cost sheet'!C:F,4,0))</f>
        <v/>
      </c>
      <c r="R51" s="184" t="str">
        <f>IF(OR(D51="",D51=""),"",VLOOKUP(D51,'price and cost sheet'!$C:$F,3,0))</f>
        <v/>
      </c>
    </row>
    <row r="52" spans="1:18" ht="24" customHeight="1">
      <c r="A52" s="151">
        <v>11</v>
      </c>
      <c r="B52" s="137"/>
      <c r="C52" s="137"/>
      <c r="D52" s="358"/>
      <c r="E52" s="359"/>
      <c r="F52" s="360"/>
      <c r="G52" s="166"/>
      <c r="H52" s="153" t="str">
        <f>IF(OR(D52="",D52=""),"",VLOOKUP(D52,'price and cost sheet'!C:F,2,0))</f>
        <v/>
      </c>
      <c r="I52" s="157" t="s">
        <v>503</v>
      </c>
      <c r="J52" s="158" t="str">
        <f t="shared" si="1"/>
        <v/>
      </c>
      <c r="K52" s="153" t="str">
        <f>IF(OR(D52="",D52=""),"",VLOOKUP(D52,'price and cost sheet'!C:F,4,0))</f>
        <v/>
      </c>
      <c r="R52" s="184" t="str">
        <f>IF(OR(D52="",D52=""),"",VLOOKUP(D52,'price and cost sheet'!$C:$F,3,0))</f>
        <v/>
      </c>
    </row>
    <row r="53" spans="1:18" ht="24" customHeight="1">
      <c r="A53" s="151">
        <v>12</v>
      </c>
      <c r="B53" s="137"/>
      <c r="C53" s="137"/>
      <c r="D53" s="358"/>
      <c r="E53" s="359"/>
      <c r="F53" s="360"/>
      <c r="G53" s="166"/>
      <c r="H53" s="153" t="str">
        <f>IF(OR(D53="",D53=""),"",VLOOKUP(D53,'price and cost sheet'!C:F,2,0))</f>
        <v/>
      </c>
      <c r="I53" s="157" t="s">
        <v>503</v>
      </c>
      <c r="J53" s="158" t="str">
        <f t="shared" si="1"/>
        <v/>
      </c>
      <c r="K53" s="153" t="str">
        <f>IF(OR(D53="",D53=""),"",VLOOKUP(D53,'price and cost sheet'!C:F,4,0))</f>
        <v/>
      </c>
      <c r="R53" s="184" t="str">
        <f>IF(OR(D53="",D53=""),"",VLOOKUP(D53,'price and cost sheet'!$C:$F,3,0))</f>
        <v/>
      </c>
    </row>
    <row r="54" spans="1:18" ht="24" customHeight="1">
      <c r="A54" s="151">
        <v>13</v>
      </c>
      <c r="B54" s="137"/>
      <c r="C54" s="137"/>
      <c r="D54" s="358"/>
      <c r="E54" s="359"/>
      <c r="F54" s="360"/>
      <c r="G54" s="166"/>
      <c r="H54" s="153" t="str">
        <f>IF(OR(D54="",D54=""),"",VLOOKUP(D54,'price and cost sheet'!C:F,2,0))</f>
        <v/>
      </c>
      <c r="I54" s="157" t="s">
        <v>503</v>
      </c>
      <c r="J54" s="158" t="str">
        <f t="shared" si="1"/>
        <v/>
      </c>
      <c r="K54" s="153" t="str">
        <f>IF(OR(D54="",D54=""),"",VLOOKUP(D54,'price and cost sheet'!C:F,4,0))</f>
        <v/>
      </c>
      <c r="R54" s="184" t="str">
        <f>IF(OR(D54="",D54=""),"",VLOOKUP(D54,'price and cost sheet'!$C:$F,3,0))</f>
        <v/>
      </c>
    </row>
    <row r="55" spans="1:18" ht="24" customHeight="1">
      <c r="A55" s="151">
        <v>14</v>
      </c>
      <c r="B55" s="137"/>
      <c r="C55" s="137"/>
      <c r="D55" s="358"/>
      <c r="E55" s="359"/>
      <c r="F55" s="360"/>
      <c r="G55" s="166"/>
      <c r="H55" s="153" t="str">
        <f>IF(OR(D55="",D55=""),"",VLOOKUP(D55,'price and cost sheet'!C:F,2,0))</f>
        <v/>
      </c>
      <c r="I55" s="157" t="s">
        <v>503</v>
      </c>
      <c r="J55" s="158" t="str">
        <f t="shared" si="1"/>
        <v/>
      </c>
      <c r="K55" s="153" t="str">
        <f>IF(OR(D55="",D55=""),"",VLOOKUP(D55,'price and cost sheet'!C:F,4,0))</f>
        <v/>
      </c>
      <c r="R55" s="184" t="str">
        <f>IF(OR(D55="",D55=""),"",VLOOKUP(D55,'price and cost sheet'!$C:$F,3,0))</f>
        <v/>
      </c>
    </row>
    <row r="56" spans="1:18" ht="24" customHeight="1">
      <c r="A56" s="151">
        <v>15</v>
      </c>
      <c r="B56" s="137"/>
      <c r="C56" s="137"/>
      <c r="D56" s="361"/>
      <c r="E56" s="362"/>
      <c r="F56" s="363"/>
      <c r="G56" s="166"/>
      <c r="H56" s="153" t="str">
        <f>IF(OR(D56="",D56=""),"",VLOOKUP(D56,'price and cost sheet'!C:F,2,0))</f>
        <v/>
      </c>
      <c r="I56" s="157" t="s">
        <v>503</v>
      </c>
      <c r="J56" s="158" t="str">
        <f t="shared" si="1"/>
        <v/>
      </c>
      <c r="K56" s="153" t="str">
        <f>IF(OR(D56="",D56=""),"",VLOOKUP(D56,'price and cost sheet'!C:F,4,0))</f>
        <v/>
      </c>
      <c r="R56" s="184" t="str">
        <f>IF(OR(D56="",D56=""),"",VLOOKUP(D56,'price and cost sheet'!$C:$F,3,0))</f>
        <v/>
      </c>
    </row>
    <row r="57" spans="1:18" ht="24" customHeight="1">
      <c r="A57" s="151">
        <v>16</v>
      </c>
      <c r="B57" s="137"/>
      <c r="C57" s="137"/>
      <c r="D57" s="361"/>
      <c r="E57" s="362"/>
      <c r="F57" s="363"/>
      <c r="G57" s="166"/>
      <c r="H57" s="153" t="str">
        <f>IF(OR(D57="",D57=""),"",VLOOKUP(D57,'price and cost sheet'!C:F,2,0))</f>
        <v/>
      </c>
      <c r="I57" s="157" t="s">
        <v>503</v>
      </c>
      <c r="J57" s="158" t="str">
        <f t="shared" si="1"/>
        <v/>
      </c>
      <c r="K57" s="153" t="str">
        <f>IF(OR(D57="",D57=""),"",VLOOKUP(D57,'price and cost sheet'!C:F,4,0))</f>
        <v/>
      </c>
      <c r="R57" s="184" t="str">
        <f>IF(OR(D57="",D57=""),"",VLOOKUP(D57,'price and cost sheet'!$C:$F,3,0))</f>
        <v/>
      </c>
    </row>
    <row r="58" spans="1:18" ht="24" customHeight="1">
      <c r="A58" s="151">
        <v>17</v>
      </c>
      <c r="B58" s="137"/>
      <c r="C58" s="137"/>
      <c r="D58" s="361"/>
      <c r="E58" s="362"/>
      <c r="F58" s="363"/>
      <c r="G58" s="166"/>
      <c r="H58" s="153" t="str">
        <f>IF(OR(D58="",D58=""),"",VLOOKUP(D58,'price and cost sheet'!C:F,2,0))</f>
        <v/>
      </c>
      <c r="I58" s="157" t="s">
        <v>503</v>
      </c>
      <c r="J58" s="158" t="str">
        <f t="shared" si="1"/>
        <v/>
      </c>
      <c r="K58" s="153" t="str">
        <f>IF(OR(D58="",D58=""),"",VLOOKUP(D58,'price and cost sheet'!C:F,4,0))</f>
        <v/>
      </c>
      <c r="R58" s="184" t="str">
        <f>IF(OR(D58="",D58=""),"",VLOOKUP(D58,'price and cost sheet'!$C:$F,3,0))</f>
        <v/>
      </c>
    </row>
    <row r="59" spans="1:18" ht="24" customHeight="1">
      <c r="A59" s="151">
        <v>18</v>
      </c>
      <c r="B59" s="137"/>
      <c r="C59" s="137"/>
      <c r="D59" s="361"/>
      <c r="E59" s="362"/>
      <c r="F59" s="363"/>
      <c r="G59" s="166"/>
      <c r="H59" s="153" t="str">
        <f>IF(OR(D59="",D59=""),"",VLOOKUP(D59,'price and cost sheet'!C:F,2,0))</f>
        <v/>
      </c>
      <c r="I59" s="157" t="s">
        <v>503</v>
      </c>
      <c r="J59" s="158" t="str">
        <f t="shared" si="1"/>
        <v/>
      </c>
      <c r="K59" s="153" t="str">
        <f>IF(OR(D59="",D59=""),"",VLOOKUP(D59,'price and cost sheet'!C:F,4,0))</f>
        <v/>
      </c>
      <c r="R59" s="184" t="str">
        <f>IF(OR(D59="",D59=""),"",VLOOKUP(D59,'price and cost sheet'!$C:$F,3,0))</f>
        <v/>
      </c>
    </row>
    <row r="60" spans="1:18" ht="24" customHeight="1">
      <c r="A60" s="151">
        <v>19</v>
      </c>
      <c r="B60" s="137"/>
      <c r="C60" s="137"/>
      <c r="D60" s="361"/>
      <c r="E60" s="362"/>
      <c r="F60" s="363"/>
      <c r="G60" s="166"/>
      <c r="H60" s="153" t="str">
        <f>IF(OR(D60="",D60=""),"",VLOOKUP(D60,'price and cost sheet'!C:F,2,0))</f>
        <v/>
      </c>
      <c r="I60" s="157" t="s">
        <v>503</v>
      </c>
      <c r="J60" s="158" t="str">
        <f t="shared" si="1"/>
        <v/>
      </c>
      <c r="K60" s="153" t="str">
        <f>IF(OR(D60="",D60=""),"",VLOOKUP(D60,'price and cost sheet'!C:F,4,0))</f>
        <v/>
      </c>
      <c r="R60" s="184" t="str">
        <f>IF(OR(D60="",D60=""),"",VLOOKUP(D60,'price and cost sheet'!$C:$F,3,0))</f>
        <v/>
      </c>
    </row>
    <row r="61" spans="1:18" ht="24" customHeight="1">
      <c r="A61" s="151">
        <v>20</v>
      </c>
      <c r="B61" s="137"/>
      <c r="C61" s="137"/>
      <c r="D61" s="361"/>
      <c r="E61" s="362"/>
      <c r="F61" s="363"/>
      <c r="G61" s="166"/>
      <c r="H61" s="153" t="str">
        <f>IF(OR(D61="",D61=""),"",VLOOKUP(D61,'price and cost sheet'!C:F,2,0))</f>
        <v/>
      </c>
      <c r="I61" s="157" t="s">
        <v>503</v>
      </c>
      <c r="J61" s="158" t="str">
        <f t="shared" si="1"/>
        <v/>
      </c>
      <c r="K61" s="153" t="str">
        <f>IF(OR(D61="",D61=""),"",VLOOKUP(D61,'price and cost sheet'!C:F,4,0))</f>
        <v/>
      </c>
      <c r="R61" s="184" t="str">
        <f>IF(OR(D61="",D61=""),"",VLOOKUP(D61,'price and cost sheet'!$C:$F,3,0))</f>
        <v/>
      </c>
    </row>
    <row r="62" spans="1:18" ht="24" customHeight="1">
      <c r="A62" s="151">
        <v>21</v>
      </c>
      <c r="B62" s="137"/>
      <c r="C62" s="137"/>
      <c r="D62" s="358"/>
      <c r="E62" s="359"/>
      <c r="F62" s="360"/>
      <c r="G62" s="166"/>
      <c r="H62" s="153" t="str">
        <f>IF(OR(D62="",D62=""),"",VLOOKUP(D62,'price and cost sheet'!C:F,2,0))</f>
        <v/>
      </c>
      <c r="I62" s="157" t="s">
        <v>503</v>
      </c>
      <c r="J62" s="158" t="str">
        <f t="shared" si="1"/>
        <v/>
      </c>
      <c r="K62" s="153" t="str">
        <f>IF(OR(D62="",D62=""),"",VLOOKUP(D62,'price and cost sheet'!C:F,4,0))</f>
        <v/>
      </c>
      <c r="R62" s="184" t="str">
        <f>IF(OR(D62="",D62=""),"",VLOOKUP(D62,'price and cost sheet'!$C:$F,3,0))</f>
        <v/>
      </c>
    </row>
    <row r="63" spans="1:18" ht="24" customHeight="1">
      <c r="A63" s="151">
        <v>22</v>
      </c>
      <c r="B63" s="137"/>
      <c r="C63" s="137"/>
      <c r="D63" s="358"/>
      <c r="E63" s="359"/>
      <c r="F63" s="360"/>
      <c r="G63" s="166"/>
      <c r="H63" s="153" t="str">
        <f>IF(OR(D63="",D63=""),"",VLOOKUP(D63,'price and cost sheet'!C:F,2,0))</f>
        <v/>
      </c>
      <c r="I63" s="157" t="s">
        <v>503</v>
      </c>
      <c r="J63" s="158" t="str">
        <f t="shared" si="1"/>
        <v/>
      </c>
      <c r="K63" s="153" t="str">
        <f>IF(OR(D63="",D63=""),"",VLOOKUP(D63,'price and cost sheet'!C:F,4,0))</f>
        <v/>
      </c>
      <c r="R63" s="184" t="str">
        <f>IF(OR(D63="",D63=""),"",VLOOKUP(D63,'price and cost sheet'!$C:$F,3,0))</f>
        <v/>
      </c>
    </row>
    <row r="64" spans="1:18" ht="24" customHeight="1">
      <c r="A64" s="151">
        <v>23</v>
      </c>
      <c r="B64" s="137"/>
      <c r="C64" s="137"/>
      <c r="D64" s="358"/>
      <c r="E64" s="359"/>
      <c r="F64" s="360"/>
      <c r="G64" s="166"/>
      <c r="H64" s="153" t="str">
        <f>IF(OR(D64="",D64=""),"",VLOOKUP(D64,'price and cost sheet'!C:F,2,0))</f>
        <v/>
      </c>
      <c r="I64" s="157" t="s">
        <v>503</v>
      </c>
      <c r="J64" s="158" t="str">
        <f t="shared" si="1"/>
        <v/>
      </c>
      <c r="K64" s="153" t="str">
        <f>IF(OR(D64="",D64=""),"",VLOOKUP(D64,'price and cost sheet'!C:F,4,0))</f>
        <v/>
      </c>
      <c r="R64" s="184" t="str">
        <f>IF(OR(D64="",D64=""),"",VLOOKUP(D64,'price and cost sheet'!$C:$F,3,0))</f>
        <v/>
      </c>
    </row>
    <row r="65" spans="1:18" ht="24" customHeight="1">
      <c r="A65" s="151">
        <v>24</v>
      </c>
      <c r="B65" s="137"/>
      <c r="C65" s="137"/>
      <c r="D65" s="358"/>
      <c r="E65" s="359"/>
      <c r="F65" s="360"/>
      <c r="G65" s="166"/>
      <c r="H65" s="153" t="str">
        <f>IF(OR(D65="",D65=""),"",VLOOKUP(D65,'price and cost sheet'!C:F,2,0))</f>
        <v/>
      </c>
      <c r="I65" s="157" t="s">
        <v>503</v>
      </c>
      <c r="J65" s="158" t="str">
        <f t="shared" si="1"/>
        <v/>
      </c>
      <c r="K65" s="153" t="str">
        <f>IF(OR(D65="",D65=""),"",VLOOKUP(D65,'price and cost sheet'!C:F,4,0))</f>
        <v/>
      </c>
      <c r="R65" s="184" t="str">
        <f>IF(OR(D65="",D65=""),"",VLOOKUP(D65,'price and cost sheet'!$C:$F,3,0))</f>
        <v/>
      </c>
    </row>
    <row r="66" spans="1:18" ht="24" customHeight="1">
      <c r="A66" s="151">
        <v>25</v>
      </c>
      <c r="B66" s="137"/>
      <c r="C66" s="137"/>
      <c r="D66" s="358"/>
      <c r="E66" s="359"/>
      <c r="F66" s="360"/>
      <c r="G66" s="166"/>
      <c r="H66" s="153" t="str">
        <f>IF(OR(D66="",D66=""),"",VLOOKUP(D66,'price and cost sheet'!C:F,2,0))</f>
        <v/>
      </c>
      <c r="I66" s="157" t="s">
        <v>503</v>
      </c>
      <c r="J66" s="158" t="str">
        <f t="shared" si="1"/>
        <v/>
      </c>
      <c r="K66" s="153" t="str">
        <f>IF(OR(D66="",D66=""),"",VLOOKUP(D66,'price and cost sheet'!C:F,4,0))</f>
        <v/>
      </c>
      <c r="R66" s="184" t="str">
        <f>IF(OR(D66="",D66=""),"",VLOOKUP(D66,'price and cost sheet'!$C:$F,3,0))</f>
        <v/>
      </c>
    </row>
    <row r="67" spans="1:18" ht="24" customHeight="1">
      <c r="A67" s="151">
        <v>26</v>
      </c>
      <c r="B67" s="137"/>
      <c r="C67" s="137"/>
      <c r="D67" s="358"/>
      <c r="E67" s="359"/>
      <c r="F67" s="360"/>
      <c r="G67" s="180"/>
      <c r="H67" s="153" t="str">
        <f>IF(OR(D67="",D67=""),"",VLOOKUP(D67,'price and cost sheet'!C:F,2,0))</f>
        <v/>
      </c>
      <c r="I67" s="157" t="s">
        <v>503</v>
      </c>
      <c r="J67" s="158" t="str">
        <f t="shared" si="1"/>
        <v/>
      </c>
      <c r="K67" s="153" t="str">
        <f>IF(OR(D67="",D67=""),"",VLOOKUP(D67,'price and cost sheet'!C:F,4,0))</f>
        <v/>
      </c>
      <c r="R67" s="184" t="str">
        <f>IF(OR(D67="",D67=""),"",VLOOKUP(D67,'price and cost sheet'!$C:$F,3,0))</f>
        <v/>
      </c>
    </row>
    <row r="68" spans="1:18" ht="24" customHeight="1">
      <c r="A68" s="151">
        <v>27</v>
      </c>
      <c r="B68" s="137"/>
      <c r="C68" s="137"/>
      <c r="D68" s="358"/>
      <c r="E68" s="359"/>
      <c r="F68" s="360"/>
      <c r="G68" s="180"/>
      <c r="H68" s="153" t="str">
        <f>IF(OR(D68="",D68=""),"",VLOOKUP(D68,'price and cost sheet'!C:F,2,0))</f>
        <v/>
      </c>
      <c r="I68" s="157" t="s">
        <v>503</v>
      </c>
      <c r="J68" s="158" t="str">
        <f t="shared" si="1"/>
        <v/>
      </c>
      <c r="K68" s="153" t="str">
        <f>IF(OR(D68="",D68=""),"",VLOOKUP(D68,'price and cost sheet'!C:F,4,0))</f>
        <v/>
      </c>
      <c r="R68" s="184" t="str">
        <f>IF(OR(D68="",D68=""),"",VLOOKUP(D68,'price and cost sheet'!$C:$F,3,0))</f>
        <v/>
      </c>
    </row>
    <row r="69" spans="1:18" ht="24" customHeight="1">
      <c r="A69" s="151">
        <v>28</v>
      </c>
      <c r="B69" s="137"/>
      <c r="C69" s="137"/>
      <c r="D69" s="358"/>
      <c r="E69" s="359"/>
      <c r="F69" s="360"/>
      <c r="G69" s="180"/>
      <c r="H69" s="153" t="str">
        <f>IF(OR(D69="",D69=""),"",VLOOKUP(D69,'price and cost sheet'!C:F,2,0))</f>
        <v/>
      </c>
      <c r="I69" s="157" t="s">
        <v>503</v>
      </c>
      <c r="J69" s="158" t="str">
        <f t="shared" si="1"/>
        <v/>
      </c>
      <c r="K69" s="153" t="str">
        <f>IF(OR(D69="",D69=""),"",VLOOKUP(D69,'price and cost sheet'!C:F,4,0))</f>
        <v/>
      </c>
      <c r="R69" s="184" t="str">
        <f>IF(OR(D69="",D69=""),"",VLOOKUP(D69,'price and cost sheet'!$C:$F,3,0))</f>
        <v/>
      </c>
    </row>
    <row r="70" spans="1:18" ht="24" customHeight="1">
      <c r="A70" s="151">
        <v>29</v>
      </c>
      <c r="B70" s="137"/>
      <c r="C70" s="137"/>
      <c r="D70" s="358"/>
      <c r="E70" s="359"/>
      <c r="F70" s="360"/>
      <c r="G70" s="180"/>
      <c r="H70" s="153" t="str">
        <f>IF(OR(D70="",D70=""),"",VLOOKUP(D70,'price and cost sheet'!C:F,2,0))</f>
        <v/>
      </c>
      <c r="I70" s="157" t="s">
        <v>503</v>
      </c>
      <c r="J70" s="158" t="str">
        <f t="shared" si="1"/>
        <v/>
      </c>
      <c r="K70" s="153" t="str">
        <f>IF(OR(D70="",D70=""),"",VLOOKUP(D70,'price and cost sheet'!C:F,4,0))</f>
        <v/>
      </c>
      <c r="R70" s="184" t="str">
        <f>IF(OR(D70="",D70=""),"",VLOOKUP(D70,'price and cost sheet'!$C:$F,3,0))</f>
        <v/>
      </c>
    </row>
    <row r="71" spans="1:18" ht="24" customHeight="1">
      <c r="A71" s="151">
        <v>30</v>
      </c>
      <c r="B71" s="137"/>
      <c r="C71" s="137"/>
      <c r="D71" s="358"/>
      <c r="E71" s="359"/>
      <c r="F71" s="360"/>
      <c r="G71" s="180"/>
      <c r="H71" s="153" t="str">
        <f>IF(OR(D71="",D71=""),"",VLOOKUP(D71,'price and cost sheet'!C:F,2,0))</f>
        <v/>
      </c>
      <c r="I71" s="157" t="s">
        <v>503</v>
      </c>
      <c r="J71" s="158" t="str">
        <f t="shared" si="1"/>
        <v/>
      </c>
      <c r="K71" s="153" t="str">
        <f>IF(OR(D71="",D71=""),"",VLOOKUP(D71,'price and cost sheet'!C:F,4,0))</f>
        <v/>
      </c>
      <c r="R71" s="184" t="str">
        <f>IF(OR(D71="",D71=""),"",VLOOKUP(D71,'price and cost sheet'!$C:$F,3,0))</f>
        <v/>
      </c>
    </row>
    <row r="72" spans="1:18" ht="24" customHeight="1">
      <c r="A72" s="151">
        <v>31</v>
      </c>
      <c r="B72" s="137"/>
      <c r="C72" s="137"/>
      <c r="D72" s="358"/>
      <c r="E72" s="359"/>
      <c r="F72" s="360"/>
      <c r="G72" s="180"/>
      <c r="H72" s="153" t="str">
        <f>IF(OR(D72="",D72=""),"",VLOOKUP(D72,'price and cost sheet'!C:F,2,0))</f>
        <v/>
      </c>
      <c r="I72" s="157" t="s">
        <v>503</v>
      </c>
      <c r="J72" s="158" t="str">
        <f t="shared" si="1"/>
        <v/>
      </c>
      <c r="K72" s="153" t="str">
        <f>IF(OR(D72="",D72=""),"",VLOOKUP(D72,'price and cost sheet'!C:F,4,0))</f>
        <v/>
      </c>
      <c r="R72" s="184" t="str">
        <f>IF(OR(D72="",D72=""),"",VLOOKUP(D72,'price and cost sheet'!$C:$F,3,0))</f>
        <v/>
      </c>
    </row>
    <row r="73" spans="1:18" ht="24" customHeight="1">
      <c r="A73" s="151">
        <v>32</v>
      </c>
      <c r="B73" s="137"/>
      <c r="C73" s="137"/>
      <c r="D73" s="358"/>
      <c r="E73" s="359"/>
      <c r="F73" s="360"/>
      <c r="G73" s="180"/>
      <c r="H73" s="153" t="str">
        <f>IF(OR(D73="",D73=""),"",VLOOKUP(D73,'price and cost sheet'!C:F,2,0))</f>
        <v/>
      </c>
      <c r="I73" s="157" t="s">
        <v>503</v>
      </c>
      <c r="J73" s="158" t="str">
        <f t="shared" si="1"/>
        <v/>
      </c>
      <c r="K73" s="153" t="str">
        <f>IF(OR(D73="",D73=""),"",VLOOKUP(D73,'price and cost sheet'!C:F,4,0))</f>
        <v/>
      </c>
      <c r="R73" s="184" t="str">
        <f>IF(OR(D73="",D73=""),"",VLOOKUP(D73,'price and cost sheet'!$C:$F,3,0))</f>
        <v/>
      </c>
    </row>
    <row r="74" spans="1:18" ht="24" customHeight="1">
      <c r="A74" s="151">
        <v>33</v>
      </c>
      <c r="B74" s="137"/>
      <c r="C74" s="137"/>
      <c r="D74" s="358"/>
      <c r="E74" s="359"/>
      <c r="F74" s="360"/>
      <c r="G74" s="180"/>
      <c r="H74" s="153" t="str">
        <f>IF(OR(D74="",D74=""),"",VLOOKUP(D74,'price and cost sheet'!C:F,2,0))</f>
        <v/>
      </c>
      <c r="I74" s="157" t="s">
        <v>503</v>
      </c>
      <c r="J74" s="158" t="str">
        <f t="shared" si="1"/>
        <v/>
      </c>
      <c r="K74" s="153" t="str">
        <f>IF(OR(D74="",D74=""),"",VLOOKUP(D74,'price and cost sheet'!C:F,4,0))</f>
        <v/>
      </c>
      <c r="R74" s="184" t="str">
        <f>IF(OR(D74="",D74=""),"",VLOOKUP(D74,'price and cost sheet'!$C:$F,3,0))</f>
        <v/>
      </c>
    </row>
    <row r="75" spans="1:18" ht="24" customHeight="1">
      <c r="A75" s="151">
        <v>34</v>
      </c>
      <c r="B75" s="137"/>
      <c r="C75" s="137"/>
      <c r="D75" s="358"/>
      <c r="E75" s="359"/>
      <c r="F75" s="360"/>
      <c r="G75" s="180"/>
      <c r="H75" s="153" t="str">
        <f>IF(OR(D75="",D75=""),"",VLOOKUP(D75,'price and cost sheet'!C:F,2,0))</f>
        <v/>
      </c>
      <c r="I75" s="157" t="s">
        <v>503</v>
      </c>
      <c r="J75" s="158" t="str">
        <f t="shared" si="1"/>
        <v/>
      </c>
      <c r="K75" s="153" t="str">
        <f>IF(OR(D75="",D75=""),"",VLOOKUP(D75,'price and cost sheet'!C:F,4,0))</f>
        <v/>
      </c>
      <c r="R75" s="184" t="str">
        <f>IF(OR(D75="",D75=""),"",VLOOKUP(D75,'price and cost sheet'!$C:$F,3,0))</f>
        <v/>
      </c>
    </row>
    <row r="76" spans="1:18" ht="24" customHeight="1">
      <c r="A76" s="151">
        <v>35</v>
      </c>
      <c r="B76" s="137"/>
      <c r="C76" s="137"/>
      <c r="D76" s="358"/>
      <c r="E76" s="359"/>
      <c r="F76" s="360"/>
      <c r="G76" s="180"/>
      <c r="H76" s="153" t="str">
        <f>IF(OR(D76="",D76=""),"",VLOOKUP(D76,'price and cost sheet'!C:F,2,0))</f>
        <v/>
      </c>
      <c r="I76" s="157" t="s">
        <v>503</v>
      </c>
      <c r="J76" s="158" t="str">
        <f t="shared" si="1"/>
        <v/>
      </c>
      <c r="K76" s="153" t="str">
        <f>IF(OR(D76="",D76=""),"",VLOOKUP(D76,'price and cost sheet'!C:F,4,0))</f>
        <v/>
      </c>
      <c r="R76" s="184" t="str">
        <f>IF(OR(D76="",D76=""),"",VLOOKUP(D76,'price and cost sheet'!$C:$F,3,0))</f>
        <v/>
      </c>
    </row>
    <row r="77" spans="1:18" ht="24" customHeight="1">
      <c r="A77" s="151">
        <v>36</v>
      </c>
      <c r="B77" s="137"/>
      <c r="C77" s="137"/>
      <c r="D77" s="358"/>
      <c r="E77" s="359"/>
      <c r="F77" s="360"/>
      <c r="G77" s="180"/>
      <c r="H77" s="153" t="str">
        <f>IF(OR(D77="",D77=""),"",VLOOKUP(D77,'price and cost sheet'!C:F,2,0))</f>
        <v/>
      </c>
      <c r="I77" s="157" t="s">
        <v>503</v>
      </c>
      <c r="J77" s="158" t="str">
        <f t="shared" si="1"/>
        <v/>
      </c>
      <c r="K77" s="153" t="str">
        <f>IF(OR(D77="",D77=""),"",VLOOKUP(D77,'price and cost sheet'!C:F,4,0))</f>
        <v/>
      </c>
      <c r="R77" s="184" t="str">
        <f>IF(OR(D77="",D77=""),"",VLOOKUP(D77,'price and cost sheet'!$C:$F,3,0))</f>
        <v/>
      </c>
    </row>
    <row r="78" spans="1:18" ht="24" customHeight="1">
      <c r="A78" s="151">
        <v>37</v>
      </c>
      <c r="B78" s="137"/>
      <c r="C78" s="137"/>
      <c r="D78" s="358"/>
      <c r="E78" s="359"/>
      <c r="F78" s="360"/>
      <c r="G78" s="180"/>
      <c r="H78" s="153" t="str">
        <f>IF(OR(D78="",D78=""),"",VLOOKUP(D78,'price and cost sheet'!C:F,2,0))</f>
        <v/>
      </c>
      <c r="I78" s="157" t="s">
        <v>503</v>
      </c>
      <c r="J78" s="158" t="str">
        <f t="shared" si="1"/>
        <v/>
      </c>
      <c r="K78" s="153" t="str">
        <f>IF(OR(D78="",D78=""),"",VLOOKUP(D78,'price and cost sheet'!C:F,4,0))</f>
        <v/>
      </c>
      <c r="R78" s="184" t="str">
        <f>IF(OR(D78="",D78=""),"",VLOOKUP(D78,'price and cost sheet'!$C:$F,3,0))</f>
        <v/>
      </c>
    </row>
    <row r="79" spans="1:18" ht="24" customHeight="1">
      <c r="A79" s="151">
        <v>38</v>
      </c>
      <c r="B79" s="137"/>
      <c r="C79" s="137"/>
      <c r="D79" s="358"/>
      <c r="E79" s="359"/>
      <c r="F79" s="360"/>
      <c r="G79" s="180"/>
      <c r="H79" s="153" t="str">
        <f>IF(OR(D79="",D79=""),"",VLOOKUP(D79,'price and cost sheet'!C:F,2,0))</f>
        <v/>
      </c>
      <c r="I79" s="157" t="s">
        <v>503</v>
      </c>
      <c r="J79" s="158" t="str">
        <f t="shared" si="1"/>
        <v/>
      </c>
      <c r="K79" s="153" t="str">
        <f>IF(OR(D79="",D79=""),"",VLOOKUP(D79,'price and cost sheet'!C:F,4,0))</f>
        <v/>
      </c>
      <c r="R79" s="184" t="str">
        <f>IF(OR(D79="",D79=""),"",VLOOKUP(D79,'price and cost sheet'!$C:$F,3,0))</f>
        <v/>
      </c>
    </row>
    <row r="80" spans="1:18" ht="24" customHeight="1">
      <c r="A80" s="151">
        <v>39</v>
      </c>
      <c r="B80" s="137"/>
      <c r="C80" s="137"/>
      <c r="D80" s="358"/>
      <c r="E80" s="359"/>
      <c r="F80" s="360"/>
      <c r="G80" s="180"/>
      <c r="H80" s="153" t="str">
        <f>IF(OR(D80="",D80=""),"",VLOOKUP(D80,'price and cost sheet'!C:F,2,0))</f>
        <v/>
      </c>
      <c r="I80" s="157" t="s">
        <v>503</v>
      </c>
      <c r="J80" s="158" t="str">
        <f t="shared" si="1"/>
        <v/>
      </c>
      <c r="K80" s="153" t="str">
        <f>IF(OR(D80="",D80=""),"",VLOOKUP(D80,'price and cost sheet'!C:F,4,0))</f>
        <v/>
      </c>
      <c r="R80" s="184" t="str">
        <f>IF(OR(D80="",D80=""),"",VLOOKUP(D80,'price and cost sheet'!$C:$F,3,0))</f>
        <v/>
      </c>
    </row>
    <row r="81" spans="1:20" ht="24" customHeight="1">
      <c r="A81" s="151">
        <v>40</v>
      </c>
      <c r="B81" s="137"/>
      <c r="C81" s="137"/>
      <c r="D81" s="358"/>
      <c r="E81" s="359"/>
      <c r="F81" s="360"/>
      <c r="G81" s="180"/>
      <c r="H81" s="153" t="str">
        <f>IF(OR(D81="",D81=""),"",VLOOKUP(D81,'price and cost sheet'!C:F,2,0))</f>
        <v/>
      </c>
      <c r="I81" s="157" t="s">
        <v>503</v>
      </c>
      <c r="J81" s="158" t="str">
        <f t="shared" si="1"/>
        <v/>
      </c>
      <c r="K81" s="153" t="str">
        <f>IF(OR(D81="",D81=""),"",VLOOKUP(D81,'price and cost sheet'!C:F,4,0))</f>
        <v/>
      </c>
      <c r="R81" s="184" t="str">
        <f>IF(OR(D81="",D81=""),"",VLOOKUP(D81,'price and cost sheet'!$C:$F,3,0))</f>
        <v/>
      </c>
    </row>
    <row r="82" spans="1:20" ht="24" customHeight="1">
      <c r="A82" s="167"/>
      <c r="B82" s="353" t="s">
        <v>504</v>
      </c>
      <c r="C82" s="354"/>
      <c r="D82" s="355"/>
      <c r="E82" s="356"/>
      <c r="F82" s="357"/>
      <c r="G82" s="169"/>
      <c r="H82" s="167"/>
      <c r="I82" s="167"/>
      <c r="J82" s="177">
        <f>SUM(J42:J81)*0.95</f>
        <v>0</v>
      </c>
      <c r="K82" s="153"/>
    </row>
    <row r="83" spans="1:20" ht="24" customHeight="1">
      <c r="A83" s="167"/>
      <c r="B83" s="353" t="s">
        <v>505</v>
      </c>
      <c r="C83" s="354"/>
      <c r="D83" s="355"/>
      <c r="E83" s="356"/>
      <c r="F83" s="357"/>
      <c r="G83" s="169"/>
      <c r="H83" s="167"/>
      <c r="I83" s="167"/>
      <c r="J83" s="177">
        <f>J35+J82</f>
        <v>0</v>
      </c>
      <c r="K83" s="153"/>
    </row>
    <row r="84" spans="1:20" ht="15.6">
      <c r="K84"/>
    </row>
    <row r="85" spans="1:20" ht="15.6">
      <c r="K85"/>
    </row>
    <row r="86" spans="1:20" ht="15.6">
      <c r="K86"/>
    </row>
    <row r="87" spans="1:20" ht="15.6">
      <c r="E87" s="170"/>
      <c r="F87" s="170"/>
      <c r="K87"/>
    </row>
    <row r="88" spans="1:20" ht="15.6">
      <c r="B88" s="170" t="s">
        <v>506</v>
      </c>
      <c r="C88" s="170" t="s">
        <v>507</v>
      </c>
      <c r="D88" s="170" t="s">
        <v>508</v>
      </c>
      <c r="E88" s="170" t="s">
        <v>509</v>
      </c>
      <c r="F88" s="170" t="s">
        <v>510</v>
      </c>
      <c r="G88" s="130" t="s">
        <v>511</v>
      </c>
      <c r="H88" s="130" t="s">
        <v>512</v>
      </c>
      <c r="I88" s="130" t="s">
        <v>513</v>
      </c>
      <c r="K88"/>
    </row>
    <row r="89" spans="1:20" ht="15.6">
      <c r="A89" s="170" t="s">
        <v>514</v>
      </c>
      <c r="B89" s="161">
        <f>$F$4</f>
        <v>0</v>
      </c>
      <c r="C89" s="161">
        <f>'Signatures that need to be read'!$D$6</f>
        <v>0</v>
      </c>
      <c r="D89" s="161">
        <f>$I$4</f>
        <v>0</v>
      </c>
      <c r="E89" s="171">
        <f>$B$7</f>
        <v>0</v>
      </c>
      <c r="F89" s="171">
        <f>$C$7</f>
        <v>0</v>
      </c>
      <c r="G89" s="130">
        <f>$J$83</f>
        <v>0</v>
      </c>
      <c r="H89" s="130">
        <f>$J$35</f>
        <v>0</v>
      </c>
      <c r="I89" s="130">
        <f>$J$82</f>
        <v>0</v>
      </c>
      <c r="K89"/>
    </row>
    <row r="90" spans="1:20" ht="15.6">
      <c r="A90" s="170"/>
      <c r="C90" s="161"/>
      <c r="E90" s="171"/>
      <c r="F90" s="171"/>
      <c r="K90"/>
    </row>
    <row r="91" spans="1:20" ht="64.95" customHeight="1">
      <c r="H91" s="167" t="s">
        <v>511</v>
      </c>
      <c r="I91" s="167" t="s">
        <v>512</v>
      </c>
      <c r="J91" s="167" t="s">
        <v>513</v>
      </c>
      <c r="K91" s="167" t="s">
        <v>515</v>
      </c>
      <c r="L91" s="167" t="s">
        <v>516</v>
      </c>
      <c r="M91" s="167" t="s">
        <v>517</v>
      </c>
      <c r="N91" s="167" t="s">
        <v>518</v>
      </c>
      <c r="O91" s="167" t="s">
        <v>519</v>
      </c>
      <c r="P91" s="167" t="s">
        <v>520</v>
      </c>
      <c r="Q91" s="167" t="s">
        <v>521</v>
      </c>
      <c r="R91" s="172" t="s">
        <v>522</v>
      </c>
      <c r="S91" s="167"/>
      <c r="T91" s="167"/>
    </row>
    <row r="92" spans="1:20"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</row>
    <row r="93" spans="1:20">
      <c r="A93" s="172" t="s">
        <v>514</v>
      </c>
      <c r="B93" s="167">
        <f>$F$4</f>
        <v>0</v>
      </c>
      <c r="C93" s="167">
        <f>'Signatures that need to be read'!$D$6</f>
        <v>0</v>
      </c>
      <c r="D93" s="167">
        <f>$I$4</f>
        <v>0</v>
      </c>
      <c r="E93" s="173"/>
      <c r="F93" s="167"/>
      <c r="G93" s="167"/>
      <c r="H93" s="167">
        <f t="shared" ref="H93:H102" si="2">I93+J93</f>
        <v>0</v>
      </c>
      <c r="I93" s="167">
        <f>J35</f>
        <v>0</v>
      </c>
      <c r="J93" s="167">
        <f>SUM(K93:Q93)</f>
        <v>0</v>
      </c>
      <c r="K93" s="167">
        <f t="shared" ref="K93:P93" si="3">IF(COUNTIFS($D$42:$F$81,K91)&lt;&gt;0,VLOOKUP(K91,$D$42:$K$81,7,0),0)</f>
        <v>0</v>
      </c>
      <c r="L93" s="167">
        <f t="shared" si="3"/>
        <v>0</v>
      </c>
      <c r="M93" s="167">
        <f t="shared" si="3"/>
        <v>0</v>
      </c>
      <c r="N93" s="167">
        <f t="shared" si="3"/>
        <v>0</v>
      </c>
      <c r="O93" s="167">
        <f t="shared" si="3"/>
        <v>0</v>
      </c>
      <c r="P93" s="167">
        <f t="shared" si="3"/>
        <v>0</v>
      </c>
      <c r="Q93" s="167">
        <f>SUM(J42:J81)-SUM(K93:P93)</f>
        <v>0</v>
      </c>
      <c r="R93" s="167">
        <f>SUM(J7:J34)+SUM(J42:J81)-SUM(K93:P93)</f>
        <v>0</v>
      </c>
      <c r="S93" s="167"/>
      <c r="T93" s="167"/>
    </row>
    <row r="94" spans="1:20">
      <c r="A94" s="170"/>
      <c r="E94" s="174"/>
    </row>
    <row r="95" spans="1:20" ht="19.95" customHeight="1">
      <c r="B95" s="170" t="s">
        <v>506</v>
      </c>
      <c r="C95" s="170" t="s">
        <v>507</v>
      </c>
      <c r="D95" s="170" t="s">
        <v>508</v>
      </c>
      <c r="E95" s="170" t="s">
        <v>523</v>
      </c>
      <c r="F95" s="170" t="s">
        <v>509</v>
      </c>
      <c r="G95" s="170" t="s">
        <v>510</v>
      </c>
      <c r="H95" s="130" t="s">
        <v>511</v>
      </c>
      <c r="I95" s="130" t="s">
        <v>512</v>
      </c>
      <c r="J95" s="130" t="s">
        <v>513</v>
      </c>
    </row>
    <row r="96" spans="1:20" ht="19.95" customHeight="1">
      <c r="A96" s="172" t="s">
        <v>514</v>
      </c>
      <c r="B96" s="169">
        <f t="shared" ref="B96:B102" si="4">$B$89</f>
        <v>0</v>
      </c>
      <c r="C96" s="169">
        <f t="shared" ref="C96:C102" si="5">$C$89</f>
        <v>0</v>
      </c>
      <c r="D96" s="169">
        <f t="shared" ref="D96:D102" si="6">$D$89</f>
        <v>0</v>
      </c>
      <c r="E96" s="167" t="s">
        <v>515</v>
      </c>
      <c r="F96" s="175">
        <f t="shared" ref="F96:F102" si="7">$E$89</f>
        <v>0</v>
      </c>
      <c r="G96" s="175">
        <f t="shared" ref="G96:G102" si="8">$F$89</f>
        <v>0</v>
      </c>
      <c r="H96" s="176">
        <f t="shared" si="2"/>
        <v>0</v>
      </c>
      <c r="I96" s="176">
        <v>0</v>
      </c>
      <c r="J96" s="176">
        <f>$K$93</f>
        <v>0</v>
      </c>
    </row>
    <row r="97" spans="1:10" ht="19.95" customHeight="1">
      <c r="A97" s="172" t="s">
        <v>514</v>
      </c>
      <c r="B97" s="169">
        <f t="shared" si="4"/>
        <v>0</v>
      </c>
      <c r="C97" s="169">
        <f t="shared" si="5"/>
        <v>0</v>
      </c>
      <c r="D97" s="169">
        <f t="shared" si="6"/>
        <v>0</v>
      </c>
      <c r="E97" s="167" t="s">
        <v>516</v>
      </c>
      <c r="F97" s="175">
        <f t="shared" si="7"/>
        <v>0</v>
      </c>
      <c r="G97" s="175">
        <f t="shared" si="8"/>
        <v>0</v>
      </c>
      <c r="H97" s="176">
        <f t="shared" si="2"/>
        <v>0</v>
      </c>
      <c r="I97" s="176">
        <v>0</v>
      </c>
      <c r="J97" s="176">
        <f>$L$93</f>
        <v>0</v>
      </c>
    </row>
    <row r="98" spans="1:10" ht="19.95" customHeight="1">
      <c r="A98" s="172" t="s">
        <v>514</v>
      </c>
      <c r="B98" s="169">
        <f t="shared" si="4"/>
        <v>0</v>
      </c>
      <c r="C98" s="169">
        <f t="shared" si="5"/>
        <v>0</v>
      </c>
      <c r="D98" s="169">
        <f t="shared" si="6"/>
        <v>0</v>
      </c>
      <c r="E98" s="167" t="s">
        <v>517</v>
      </c>
      <c r="F98" s="175">
        <f t="shared" si="7"/>
        <v>0</v>
      </c>
      <c r="G98" s="175">
        <f t="shared" si="8"/>
        <v>0</v>
      </c>
      <c r="H98" s="176">
        <f t="shared" si="2"/>
        <v>0</v>
      </c>
      <c r="I98" s="176">
        <v>0</v>
      </c>
      <c r="J98" s="176">
        <f>$M$93</f>
        <v>0</v>
      </c>
    </row>
    <row r="99" spans="1:10" ht="19.95" customHeight="1">
      <c r="A99" s="172" t="s">
        <v>514</v>
      </c>
      <c r="B99" s="169">
        <f t="shared" si="4"/>
        <v>0</v>
      </c>
      <c r="C99" s="169">
        <f t="shared" si="5"/>
        <v>0</v>
      </c>
      <c r="D99" s="169">
        <f t="shared" si="6"/>
        <v>0</v>
      </c>
      <c r="E99" s="167" t="s">
        <v>518</v>
      </c>
      <c r="F99" s="175">
        <f t="shared" si="7"/>
        <v>0</v>
      </c>
      <c r="G99" s="175">
        <f t="shared" si="8"/>
        <v>0</v>
      </c>
      <c r="H99" s="176">
        <f t="shared" si="2"/>
        <v>0</v>
      </c>
      <c r="I99" s="176">
        <v>0</v>
      </c>
      <c r="J99" s="176">
        <f>$N$93</f>
        <v>0</v>
      </c>
    </row>
    <row r="100" spans="1:10" ht="19.95" customHeight="1">
      <c r="A100" s="172" t="s">
        <v>514</v>
      </c>
      <c r="B100" s="169">
        <f t="shared" si="4"/>
        <v>0</v>
      </c>
      <c r="C100" s="169">
        <f t="shared" si="5"/>
        <v>0</v>
      </c>
      <c r="D100" s="169">
        <f t="shared" si="6"/>
        <v>0</v>
      </c>
      <c r="E100" s="167" t="s">
        <v>519</v>
      </c>
      <c r="F100" s="175">
        <f t="shared" si="7"/>
        <v>0</v>
      </c>
      <c r="G100" s="175">
        <f t="shared" si="8"/>
        <v>0</v>
      </c>
      <c r="H100" s="176">
        <f t="shared" si="2"/>
        <v>0</v>
      </c>
      <c r="I100" s="176">
        <v>0</v>
      </c>
      <c r="J100" s="176">
        <f>$O$93</f>
        <v>0</v>
      </c>
    </row>
    <row r="101" spans="1:10" ht="19.95" customHeight="1">
      <c r="A101" s="172" t="s">
        <v>514</v>
      </c>
      <c r="B101" s="169">
        <f t="shared" si="4"/>
        <v>0</v>
      </c>
      <c r="C101" s="169">
        <f t="shared" si="5"/>
        <v>0</v>
      </c>
      <c r="D101" s="169">
        <f t="shared" si="6"/>
        <v>0</v>
      </c>
      <c r="E101" s="167" t="s">
        <v>520</v>
      </c>
      <c r="F101" s="175">
        <f t="shared" si="7"/>
        <v>0</v>
      </c>
      <c r="G101" s="175">
        <f t="shared" si="8"/>
        <v>0</v>
      </c>
      <c r="H101" s="176">
        <f t="shared" si="2"/>
        <v>0</v>
      </c>
      <c r="I101" s="176">
        <v>0</v>
      </c>
      <c r="J101" s="176">
        <f>$P$93</f>
        <v>0</v>
      </c>
    </row>
    <row r="102" spans="1:10" ht="19.95" customHeight="1">
      <c r="A102" s="172" t="s">
        <v>514</v>
      </c>
      <c r="B102" s="169">
        <f t="shared" si="4"/>
        <v>0</v>
      </c>
      <c r="C102" s="169">
        <f t="shared" si="5"/>
        <v>0</v>
      </c>
      <c r="D102" s="169">
        <f t="shared" si="6"/>
        <v>0</v>
      </c>
      <c r="E102" s="172" t="s">
        <v>524</v>
      </c>
      <c r="F102" s="175">
        <f t="shared" si="7"/>
        <v>0</v>
      </c>
      <c r="G102" s="175">
        <f t="shared" si="8"/>
        <v>0</v>
      </c>
      <c r="H102" s="176">
        <f t="shared" si="2"/>
        <v>0</v>
      </c>
      <c r="I102" s="176">
        <f>I93</f>
        <v>0</v>
      </c>
      <c r="J102" s="176">
        <f>$Q$93</f>
        <v>0</v>
      </c>
    </row>
  </sheetData>
  <sheetProtection formatCells="0" formatColumns="0" formatRows="0"/>
  <mergeCells count="98">
    <mergeCell ref="A1:B1"/>
    <mergeCell ref="A2:J2"/>
    <mergeCell ref="A3:J3"/>
    <mergeCell ref="B4:C4"/>
    <mergeCell ref="D4:E4"/>
    <mergeCell ref="G4:H4"/>
    <mergeCell ref="I4:J4"/>
    <mergeCell ref="B5:C5"/>
    <mergeCell ref="G5:J5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2:F32"/>
    <mergeCell ref="D33:F33"/>
    <mergeCell ref="D34:F34"/>
    <mergeCell ref="B35:C35"/>
    <mergeCell ref="D35:F35"/>
    <mergeCell ref="A36:B36"/>
    <mergeCell ref="A37:J37"/>
    <mergeCell ref="A38:J38"/>
    <mergeCell ref="B39:C39"/>
    <mergeCell ref="D39:E39"/>
    <mergeCell ref="G39:H39"/>
    <mergeCell ref="I39:J39"/>
    <mergeCell ref="B40:C40"/>
    <mergeCell ref="G40:J40"/>
    <mergeCell ref="D42:F42"/>
    <mergeCell ref="D43:F43"/>
    <mergeCell ref="D44:F44"/>
    <mergeCell ref="D45:F45"/>
    <mergeCell ref="D46:F46"/>
    <mergeCell ref="D47:F47"/>
    <mergeCell ref="D48:F48"/>
    <mergeCell ref="D49:F49"/>
    <mergeCell ref="D50:F50"/>
    <mergeCell ref="D51:F51"/>
    <mergeCell ref="D59:F59"/>
    <mergeCell ref="D60:F60"/>
    <mergeCell ref="D61:F61"/>
    <mergeCell ref="D52:F52"/>
    <mergeCell ref="D53:F53"/>
    <mergeCell ref="D54:F54"/>
    <mergeCell ref="D55:F55"/>
    <mergeCell ref="D56:F56"/>
    <mergeCell ref="B83:C83"/>
    <mergeCell ref="D83:F83"/>
    <mergeCell ref="A5:A6"/>
    <mergeCell ref="A40:A41"/>
    <mergeCell ref="D77:F77"/>
    <mergeCell ref="D78:F78"/>
    <mergeCell ref="D79:F79"/>
    <mergeCell ref="D80:F80"/>
    <mergeCell ref="D81:F81"/>
    <mergeCell ref="D72:F72"/>
    <mergeCell ref="D73:F73"/>
    <mergeCell ref="D74:F74"/>
    <mergeCell ref="D75:F75"/>
    <mergeCell ref="D76:F76"/>
    <mergeCell ref="D67:F67"/>
    <mergeCell ref="D68:F68"/>
    <mergeCell ref="K5:K6"/>
    <mergeCell ref="K40:K41"/>
    <mergeCell ref="D5:F6"/>
    <mergeCell ref="D40:F41"/>
    <mergeCell ref="B82:C82"/>
    <mergeCell ref="D82:F82"/>
    <mergeCell ref="D69:F69"/>
    <mergeCell ref="D70:F70"/>
    <mergeCell ref="D71:F71"/>
    <mergeCell ref="D62:F62"/>
    <mergeCell ref="D63:F63"/>
    <mergeCell ref="D64:F64"/>
    <mergeCell ref="D65:F65"/>
    <mergeCell ref="D66:F66"/>
    <mergeCell ref="D57:F57"/>
    <mergeCell ref="D58:F58"/>
  </mergeCells>
  <dataValidations count="1">
    <dataValidation allowBlank="1" showInputMessage="1" showErrorMessage="1" sqref="D7:F16 D17:F26 D27:F34 D49:F61 D62:F81 D42:F45 D46:F48" xr:uid="{00000000-0002-0000-0300-000000000000}"/>
  </dataValidations>
  <printOptions horizontalCentered="1" verticalCentered="1"/>
  <pageMargins left="0.39" right="0.39" top="0.39" bottom="0.39" header="0.51" footer="0.51"/>
  <pageSetup paperSize="9" scale="63" orientation="portrait" r:id="rId1"/>
  <headerFooter alignWithMargins="0"/>
  <rowBreaks count="1" manualBreakCount="1">
    <brk id="35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indexed="10"/>
  </sheetPr>
  <dimension ref="A1:T102"/>
  <sheetViews>
    <sheetView view="pageBreakPreview" topLeftCell="A20" zoomScaleNormal="115" workbookViewId="0">
      <selection activeCell="K33" sqref="K33"/>
    </sheetView>
  </sheetViews>
  <sheetFormatPr defaultColWidth="9" defaultRowHeight="11.4"/>
  <cols>
    <col min="1" max="1" width="4.5" style="130" customWidth="1"/>
    <col min="2" max="2" width="9.5" style="130" customWidth="1"/>
    <col min="3" max="3" width="10.69921875" style="130" customWidth="1"/>
    <col min="4" max="4" width="6.09765625" style="130" customWidth="1"/>
    <col min="5" max="5" width="8.5" style="130" customWidth="1"/>
    <col min="6" max="6" width="15.19921875" style="130"/>
    <col min="7" max="7" width="9.5" style="130"/>
    <col min="8" max="8" width="7.8984375" style="130" customWidth="1"/>
    <col min="9" max="9" width="12.09765625" style="130" customWidth="1"/>
    <col min="10" max="10" width="13" style="130" customWidth="1"/>
    <col min="11" max="11" width="14.59765625" style="130" customWidth="1"/>
    <col min="12" max="17" width="9" style="130"/>
    <col min="18" max="18" width="10.59765625" style="130" hidden="1" customWidth="1"/>
    <col min="19" max="16384" width="9" style="130"/>
  </cols>
  <sheetData>
    <row r="1" spans="1:18" ht="29.25" customHeight="1">
      <c r="A1" s="373"/>
      <c r="B1" s="374"/>
      <c r="K1"/>
    </row>
    <row r="2" spans="1:18" s="128" customFormat="1" ht="20.399999999999999">
      <c r="A2" s="375" t="s">
        <v>486</v>
      </c>
      <c r="B2" s="375"/>
      <c r="C2" s="375"/>
      <c r="D2" s="375"/>
      <c r="E2" s="375"/>
      <c r="F2" s="375"/>
      <c r="G2" s="375"/>
      <c r="H2" s="375"/>
      <c r="I2" s="375"/>
      <c r="J2" s="375"/>
      <c r="K2"/>
    </row>
    <row r="3" spans="1:18" s="128" customFormat="1" ht="22.8">
      <c r="A3" s="376" t="s">
        <v>487</v>
      </c>
      <c r="B3" s="377"/>
      <c r="C3" s="377"/>
      <c r="D3" s="377"/>
      <c r="E3" s="377"/>
      <c r="F3" s="377"/>
      <c r="G3" s="377"/>
      <c r="H3" s="377"/>
      <c r="I3" s="377"/>
      <c r="J3" s="377"/>
      <c r="K3"/>
    </row>
    <row r="4" spans="1:18" ht="30" customHeight="1">
      <c r="A4" s="149" t="s">
        <v>488</v>
      </c>
      <c r="B4" s="366"/>
      <c r="C4" s="367"/>
      <c r="D4" s="368" t="s">
        <v>489</v>
      </c>
      <c r="E4" s="369"/>
      <c r="F4" s="133"/>
      <c r="G4" s="368" t="s">
        <v>490</v>
      </c>
      <c r="H4" s="369"/>
      <c r="I4" s="366"/>
      <c r="J4" s="367"/>
      <c r="K4" s="164" t="s">
        <v>491</v>
      </c>
    </row>
    <row r="5" spans="1:18" s="129" customFormat="1" ht="18.75" customHeight="1">
      <c r="A5" s="364" t="s">
        <v>492</v>
      </c>
      <c r="B5" s="347" t="s">
        <v>493</v>
      </c>
      <c r="C5" s="349"/>
      <c r="D5" s="347" t="s">
        <v>494</v>
      </c>
      <c r="E5" s="348"/>
      <c r="F5" s="349"/>
      <c r="G5" s="370" t="s">
        <v>495</v>
      </c>
      <c r="H5" s="371"/>
      <c r="I5" s="371"/>
      <c r="J5" s="372"/>
      <c r="K5" s="345" t="s">
        <v>496</v>
      </c>
    </row>
    <row r="6" spans="1:18" s="129" customFormat="1" ht="22.5" customHeight="1">
      <c r="A6" s="365"/>
      <c r="B6" s="134" t="s">
        <v>497</v>
      </c>
      <c r="C6" s="134" t="s">
        <v>498</v>
      </c>
      <c r="D6" s="350"/>
      <c r="E6" s="351"/>
      <c r="F6" s="352"/>
      <c r="G6" s="135" t="s">
        <v>499</v>
      </c>
      <c r="H6" s="135" t="s">
        <v>500</v>
      </c>
      <c r="I6" s="135" t="s">
        <v>501</v>
      </c>
      <c r="J6" s="135" t="s">
        <v>502</v>
      </c>
      <c r="K6" s="346"/>
    </row>
    <row r="7" spans="1:18" ht="21.9" customHeight="1">
      <c r="A7" s="169">
        <v>1</v>
      </c>
      <c r="B7" s="137"/>
      <c r="C7" s="137"/>
      <c r="D7" s="358"/>
      <c r="E7" s="359"/>
      <c r="F7" s="360"/>
      <c r="G7" s="138"/>
      <c r="H7" s="139" t="str">
        <f>IF(OR(D7="",D7=""),"",VLOOKUP(D7,'price and cost sheet'!B:F,3,0))</f>
        <v/>
      </c>
      <c r="I7" s="157" t="s">
        <v>503</v>
      </c>
      <c r="J7" s="158" t="str">
        <f t="shared" ref="J7:J34" si="0">IF(OR(D7="",G7=""),"",G7*I7)</f>
        <v/>
      </c>
      <c r="K7" s="153" t="str">
        <f>IF(OR(D7="",D7=""),"",VLOOKUP(D7,'price and cost sheet'!B:F,5,0))</f>
        <v/>
      </c>
      <c r="R7" s="184" t="str">
        <f>IF(OR(D7="",D7=""),"",VLOOKUP(D7,'price and cost sheet'!$B:$F,4,0))</f>
        <v/>
      </c>
    </row>
    <row r="8" spans="1:18" ht="21.9" customHeight="1">
      <c r="A8" s="169">
        <v>2</v>
      </c>
      <c r="B8" s="137"/>
      <c r="C8" s="137"/>
      <c r="D8" s="358"/>
      <c r="E8" s="359"/>
      <c r="F8" s="360"/>
      <c r="G8" s="138"/>
      <c r="H8" s="139" t="str">
        <f>IF(OR(D8="",D8=""),"",VLOOKUP(D8,'price and cost sheet'!B:F,3,0))</f>
        <v/>
      </c>
      <c r="I8" s="157" t="s">
        <v>503</v>
      </c>
      <c r="J8" s="158" t="str">
        <f t="shared" si="0"/>
        <v/>
      </c>
      <c r="K8" s="153" t="str">
        <f>IF(OR(D8="",D8=""),"",VLOOKUP(D8,'price and cost sheet'!B:F,5,0))</f>
        <v/>
      </c>
      <c r="R8" s="184" t="str">
        <f>IF(OR(D8="",D8=""),"",VLOOKUP(D8,'price and cost sheet'!$B:$F,4,0))</f>
        <v/>
      </c>
    </row>
    <row r="9" spans="1:18" ht="21.9" customHeight="1">
      <c r="A9" s="169">
        <v>3</v>
      </c>
      <c r="B9" s="137"/>
      <c r="C9" s="145"/>
      <c r="D9" s="358"/>
      <c r="E9" s="359"/>
      <c r="F9" s="360"/>
      <c r="G9" s="138"/>
      <c r="H9" s="139" t="str">
        <f>IF(OR(D9="",D9=""),"",VLOOKUP(D9,'price and cost sheet'!B:F,3,0))</f>
        <v/>
      </c>
      <c r="I9" s="157" t="s">
        <v>503</v>
      </c>
      <c r="J9" s="158" t="str">
        <f t="shared" si="0"/>
        <v/>
      </c>
      <c r="K9" s="153" t="str">
        <f>IF(OR(D9="",D9=""),"",VLOOKUP(D9,'price and cost sheet'!B:F,5,0))</f>
        <v/>
      </c>
      <c r="R9" s="184" t="str">
        <f>IF(OR(D9="",D9=""),"",VLOOKUP(D9,'price and cost sheet'!$B:$F,4,0))</f>
        <v/>
      </c>
    </row>
    <row r="10" spans="1:18" ht="21.9" customHeight="1">
      <c r="A10" s="169">
        <v>4</v>
      </c>
      <c r="B10" s="137"/>
      <c r="C10" s="145"/>
      <c r="D10" s="358"/>
      <c r="E10" s="359"/>
      <c r="F10" s="360"/>
      <c r="G10" s="138"/>
      <c r="H10" s="139" t="str">
        <f>IF(OR(D10="",D10=""),"",VLOOKUP(D10,'price and cost sheet'!B:F,3,0))</f>
        <v/>
      </c>
      <c r="I10" s="157" t="s">
        <v>503</v>
      </c>
      <c r="J10" s="158" t="str">
        <f t="shared" si="0"/>
        <v/>
      </c>
      <c r="K10" s="153" t="str">
        <f>IF(OR(D10="",D10=""),"",VLOOKUP(D10,'price and cost sheet'!B:F,5,0))</f>
        <v/>
      </c>
      <c r="R10" s="184" t="str">
        <f>IF(OR(D10="",D10=""),"",VLOOKUP(D10,'price and cost sheet'!$B:$F,4,0))</f>
        <v/>
      </c>
    </row>
    <row r="11" spans="1:18" ht="21.9" customHeight="1">
      <c r="A11" s="169">
        <v>5</v>
      </c>
      <c r="B11" s="137"/>
      <c r="C11" s="145"/>
      <c r="D11" s="358"/>
      <c r="E11" s="359"/>
      <c r="F11" s="360"/>
      <c r="G11" s="138"/>
      <c r="H11" s="139" t="str">
        <f>IF(OR(D11="",D11=""),"",VLOOKUP(D11,'price and cost sheet'!B:F,3,0))</f>
        <v/>
      </c>
      <c r="I11" s="157" t="s">
        <v>503</v>
      </c>
      <c r="J11" s="158" t="str">
        <f t="shared" si="0"/>
        <v/>
      </c>
      <c r="K11" s="153" t="str">
        <f>IF(OR(D11="",D11=""),"",VLOOKUP(D11,'price and cost sheet'!B:F,5,0))</f>
        <v/>
      </c>
      <c r="N11" s="161"/>
      <c r="O11" s="161"/>
      <c r="R11" s="184" t="str">
        <f>IF(OR(D11="",D11=""),"",VLOOKUP(D11,'price and cost sheet'!$B:$F,4,0))</f>
        <v/>
      </c>
    </row>
    <row r="12" spans="1:18" ht="21.9" customHeight="1">
      <c r="A12" s="169">
        <v>6</v>
      </c>
      <c r="B12" s="140"/>
      <c r="C12" s="178"/>
      <c r="D12" s="358"/>
      <c r="E12" s="359"/>
      <c r="F12" s="360"/>
      <c r="G12" s="138"/>
      <c r="H12" s="139" t="str">
        <f>IF(OR(D12="",D12=""),"",VLOOKUP(D12,'price and cost sheet'!B:F,3,0))</f>
        <v/>
      </c>
      <c r="I12" s="157" t="s">
        <v>503</v>
      </c>
      <c r="J12" s="158" t="str">
        <f t="shared" si="0"/>
        <v/>
      </c>
      <c r="K12" s="153" t="str">
        <f>IF(OR(D12="",D12=""),"",VLOOKUP(D12,'price and cost sheet'!B:F,5,0))</f>
        <v/>
      </c>
      <c r="N12" s="183"/>
      <c r="O12" s="161"/>
      <c r="R12" s="184" t="str">
        <f>IF(OR(D12="",D12=""),"",VLOOKUP(D12,'price and cost sheet'!$B:$F,4,0))</f>
        <v/>
      </c>
    </row>
    <row r="13" spans="1:18" ht="21.9" customHeight="1">
      <c r="A13" s="169">
        <v>7</v>
      </c>
      <c r="B13" s="140"/>
      <c r="C13" s="178"/>
      <c r="D13" s="358"/>
      <c r="E13" s="359"/>
      <c r="F13" s="360"/>
      <c r="G13" s="138"/>
      <c r="H13" s="139" t="str">
        <f>IF(OR(D13="",D13=""),"",VLOOKUP(D13,'price and cost sheet'!B:F,3,0))</f>
        <v/>
      </c>
      <c r="I13" s="157" t="s">
        <v>503</v>
      </c>
      <c r="J13" s="158" t="str">
        <f t="shared" si="0"/>
        <v/>
      </c>
      <c r="K13" s="153" t="str">
        <f>IF(OR(D13="",D13=""),"",VLOOKUP(D13,'price and cost sheet'!B:F,5,0))</f>
        <v/>
      </c>
      <c r="N13" s="161"/>
      <c r="O13" s="161"/>
      <c r="R13" s="184" t="str">
        <f>IF(OR(D13="",D13=""),"",VLOOKUP(D13,'price and cost sheet'!$B:$F,4,0))</f>
        <v/>
      </c>
    </row>
    <row r="14" spans="1:18" ht="21.9" customHeight="1">
      <c r="A14" s="169">
        <v>8</v>
      </c>
      <c r="B14" s="137"/>
      <c r="C14" s="145"/>
      <c r="D14" s="358"/>
      <c r="E14" s="359"/>
      <c r="F14" s="360"/>
      <c r="G14" s="166"/>
      <c r="H14" s="139" t="str">
        <f>IF(OR(D14="",D14=""),"",VLOOKUP(D14,'price and cost sheet'!B:F,3,0))</f>
        <v/>
      </c>
      <c r="I14" s="157" t="s">
        <v>503</v>
      </c>
      <c r="J14" s="158" t="str">
        <f t="shared" si="0"/>
        <v/>
      </c>
      <c r="K14" s="153" t="str">
        <f>IF(OR(D14="",D14=""),"",VLOOKUP(D14,'price and cost sheet'!B:F,5,0))</f>
        <v/>
      </c>
      <c r="N14" s="161"/>
      <c r="O14" s="161"/>
      <c r="R14" s="184" t="str">
        <f>IF(OR(D14="",D14=""),"",VLOOKUP(D14,'price and cost sheet'!$B:$F,4,0))</f>
        <v/>
      </c>
    </row>
    <row r="15" spans="1:18" ht="21.9" customHeight="1">
      <c r="A15" s="169">
        <v>9</v>
      </c>
      <c r="B15" s="137"/>
      <c r="C15" s="145"/>
      <c r="D15" s="358"/>
      <c r="E15" s="359"/>
      <c r="F15" s="360"/>
      <c r="G15" s="166"/>
      <c r="H15" s="139" t="str">
        <f>IF(OR(D15="",D15=""),"",VLOOKUP(D15,'price and cost sheet'!B:F,3,0))</f>
        <v/>
      </c>
      <c r="I15" s="157" t="s">
        <v>503</v>
      </c>
      <c r="J15" s="158" t="str">
        <f t="shared" si="0"/>
        <v/>
      </c>
      <c r="K15" s="153" t="str">
        <f>IF(OR(D15="",D15=""),"",VLOOKUP(D15,'price and cost sheet'!B:F,5,0))</f>
        <v/>
      </c>
      <c r="R15" s="184" t="str">
        <f>IF(OR(D15="",D15=""),"",VLOOKUP(D15,'price and cost sheet'!$B:$F,4,0))</f>
        <v/>
      </c>
    </row>
    <row r="16" spans="1:18" ht="21.9" customHeight="1">
      <c r="A16" s="169">
        <v>10</v>
      </c>
      <c r="B16" s="137"/>
      <c r="C16" s="145"/>
      <c r="D16" s="358"/>
      <c r="E16" s="359"/>
      <c r="F16" s="360"/>
      <c r="G16" s="138"/>
      <c r="H16" s="139" t="str">
        <f>IF(OR(D16="",D16=""),"",VLOOKUP(D16,'price and cost sheet'!B:F,3,0))</f>
        <v/>
      </c>
      <c r="I16" s="157" t="s">
        <v>503</v>
      </c>
      <c r="J16" s="158" t="str">
        <f t="shared" si="0"/>
        <v/>
      </c>
      <c r="K16" s="153" t="str">
        <f>IF(OR(D16="",D16=""),"",VLOOKUP(D16,'price and cost sheet'!B:F,5,0))</f>
        <v/>
      </c>
      <c r="R16" s="184" t="str">
        <f>IF(OR(D16="",D16=""),"",VLOOKUP(D16,'price and cost sheet'!$B:$F,4,0))</f>
        <v/>
      </c>
    </row>
    <row r="17" spans="1:18" ht="21.9" customHeight="1">
      <c r="A17" s="169">
        <v>11</v>
      </c>
      <c r="B17" s="141"/>
      <c r="C17" s="142"/>
      <c r="D17" s="358"/>
      <c r="E17" s="359"/>
      <c r="F17" s="360"/>
      <c r="G17" s="138"/>
      <c r="H17" s="139" t="str">
        <f>IF(OR(D17="",D17=""),"",VLOOKUP(D17,'price and cost sheet'!B:F,3,0))</f>
        <v/>
      </c>
      <c r="I17" s="157" t="s">
        <v>503</v>
      </c>
      <c r="J17" s="158" t="str">
        <f t="shared" si="0"/>
        <v/>
      </c>
      <c r="K17" s="153" t="str">
        <f>IF(OR(D17="",D17=""),"",VLOOKUP(D17,'price and cost sheet'!B:F,5,0))</f>
        <v/>
      </c>
      <c r="R17" s="184" t="str">
        <f>IF(OR(D17="",D17=""),"",VLOOKUP(D17,'price and cost sheet'!$B:$F,4,0))</f>
        <v/>
      </c>
    </row>
    <row r="18" spans="1:18" ht="21.9" customHeight="1">
      <c r="A18" s="169">
        <v>12</v>
      </c>
      <c r="B18" s="141"/>
      <c r="C18" s="142"/>
      <c r="D18" s="358"/>
      <c r="E18" s="359"/>
      <c r="F18" s="360"/>
      <c r="G18" s="138"/>
      <c r="H18" s="139" t="str">
        <f>IF(OR(D18="",D18=""),"",VLOOKUP(D18,'price and cost sheet'!B:F,3,0))</f>
        <v/>
      </c>
      <c r="I18" s="157" t="s">
        <v>503</v>
      </c>
      <c r="J18" s="158" t="str">
        <f t="shared" si="0"/>
        <v/>
      </c>
      <c r="K18" s="153" t="str">
        <f>IF(OR(D18="",D18=""),"",VLOOKUP(D18,'price and cost sheet'!B:F,5,0))</f>
        <v/>
      </c>
      <c r="R18" s="184" t="str">
        <f>IF(OR(D18="",D18=""),"",VLOOKUP(D18,'price and cost sheet'!$B:$F,4,0))</f>
        <v/>
      </c>
    </row>
    <row r="19" spans="1:18" ht="21.9" customHeight="1">
      <c r="A19" s="169">
        <v>13</v>
      </c>
      <c r="B19" s="141"/>
      <c r="C19" s="142"/>
      <c r="D19" s="358"/>
      <c r="E19" s="359"/>
      <c r="F19" s="360"/>
      <c r="G19" s="138"/>
      <c r="H19" s="139" t="str">
        <f>IF(OR(D19="",D19=""),"",VLOOKUP(D19,'price and cost sheet'!B:F,3,0))</f>
        <v/>
      </c>
      <c r="I19" s="157" t="s">
        <v>503</v>
      </c>
      <c r="J19" s="158" t="str">
        <f t="shared" si="0"/>
        <v/>
      </c>
      <c r="K19" s="153" t="str">
        <f>IF(OR(D19="",D19=""),"",VLOOKUP(D19,'price and cost sheet'!B:F,5,0))</f>
        <v/>
      </c>
      <c r="R19" s="184" t="str">
        <f>IF(OR(D19="",D19=""),"",VLOOKUP(D19,'price and cost sheet'!$B:$F,4,0))</f>
        <v/>
      </c>
    </row>
    <row r="20" spans="1:18" ht="21.9" customHeight="1">
      <c r="A20" s="169">
        <v>14</v>
      </c>
      <c r="B20" s="141"/>
      <c r="C20" s="142"/>
      <c r="D20" s="358"/>
      <c r="E20" s="359"/>
      <c r="F20" s="360"/>
      <c r="G20" s="138"/>
      <c r="H20" s="139" t="str">
        <f>IF(OR(D20="",D20=""),"",VLOOKUP(D20,'price and cost sheet'!B:F,3,0))</f>
        <v/>
      </c>
      <c r="I20" s="157" t="s">
        <v>503</v>
      </c>
      <c r="J20" s="158" t="str">
        <f t="shared" si="0"/>
        <v/>
      </c>
      <c r="K20" s="153" t="str">
        <f>IF(OR(D20="",D20=""),"",VLOOKUP(D20,'price and cost sheet'!B:F,5,0))</f>
        <v/>
      </c>
      <c r="R20" s="184" t="str">
        <f>IF(OR(D20="",D20=""),"",VLOOKUP(D20,'price and cost sheet'!$B:$F,4,0))</f>
        <v/>
      </c>
    </row>
    <row r="21" spans="1:18" ht="21.9" customHeight="1">
      <c r="A21" s="169">
        <v>15</v>
      </c>
      <c r="B21" s="179"/>
      <c r="C21" s="142"/>
      <c r="D21" s="358"/>
      <c r="E21" s="359"/>
      <c r="F21" s="360"/>
      <c r="G21" s="138"/>
      <c r="H21" s="139" t="str">
        <f>IF(OR(D21="",D21=""),"",VLOOKUP(D21,'price and cost sheet'!B:F,3,0))</f>
        <v/>
      </c>
      <c r="I21" s="157" t="s">
        <v>503</v>
      </c>
      <c r="J21" s="158" t="str">
        <f t="shared" si="0"/>
        <v/>
      </c>
      <c r="K21" s="153" t="str">
        <f>IF(OR(D21="",D21=""),"",VLOOKUP(D21,'price and cost sheet'!B:F,5,0))</f>
        <v/>
      </c>
      <c r="R21" s="184" t="str">
        <f>IF(OR(D21="",D21=""),"",VLOOKUP(D21,'price and cost sheet'!$B:$F,4,0))</f>
        <v/>
      </c>
    </row>
    <row r="22" spans="1:18" ht="21.9" customHeight="1">
      <c r="A22" s="169">
        <v>16</v>
      </c>
      <c r="B22" s="179"/>
      <c r="C22" s="142"/>
      <c r="D22" s="358"/>
      <c r="E22" s="359"/>
      <c r="F22" s="360"/>
      <c r="G22" s="138"/>
      <c r="H22" s="139" t="str">
        <f>IF(OR(D22="",D22=""),"",VLOOKUP(D22,'price and cost sheet'!B:F,3,0))</f>
        <v/>
      </c>
      <c r="I22" s="157" t="s">
        <v>503</v>
      </c>
      <c r="J22" s="158" t="str">
        <f t="shared" si="0"/>
        <v/>
      </c>
      <c r="K22" s="153" t="str">
        <f>IF(OR(D22="",D22=""),"",VLOOKUP(D22,'price and cost sheet'!B:F,5,0))</f>
        <v/>
      </c>
      <c r="R22" s="184" t="str">
        <f>IF(OR(D22="",D22=""),"",VLOOKUP(D22,'price and cost sheet'!$B:$F,4,0))</f>
        <v/>
      </c>
    </row>
    <row r="23" spans="1:18" ht="21.9" customHeight="1">
      <c r="A23" s="169">
        <v>17</v>
      </c>
      <c r="B23" s="141"/>
      <c r="C23" s="142"/>
      <c r="D23" s="358"/>
      <c r="E23" s="359"/>
      <c r="F23" s="360"/>
      <c r="G23" s="180"/>
      <c r="H23" s="139" t="str">
        <f>IF(OR(D23="",D23=""),"",VLOOKUP(D23,'price and cost sheet'!B:F,3,0))</f>
        <v/>
      </c>
      <c r="I23" s="157" t="s">
        <v>503</v>
      </c>
      <c r="J23" s="158" t="str">
        <f t="shared" si="0"/>
        <v/>
      </c>
      <c r="K23" s="153" t="str">
        <f>IF(OR(D23="",D23=""),"",VLOOKUP(D23,'price and cost sheet'!B:F,5,0))</f>
        <v/>
      </c>
      <c r="R23" s="184" t="str">
        <f>IF(OR(D23="",D23=""),"",VLOOKUP(D23,'price and cost sheet'!$B:$F,4,0))</f>
        <v/>
      </c>
    </row>
    <row r="24" spans="1:18" ht="21.9" customHeight="1">
      <c r="A24" s="169">
        <v>18</v>
      </c>
      <c r="B24" s="141"/>
      <c r="C24" s="142"/>
      <c r="D24" s="358"/>
      <c r="E24" s="359"/>
      <c r="F24" s="360"/>
      <c r="G24" s="180"/>
      <c r="H24" s="139" t="str">
        <f>IF(OR(D24="",D24=""),"",VLOOKUP(D24,'price and cost sheet'!B:F,3,0))</f>
        <v/>
      </c>
      <c r="I24" s="157" t="s">
        <v>503</v>
      </c>
      <c r="J24" s="158" t="str">
        <f t="shared" si="0"/>
        <v/>
      </c>
      <c r="K24" s="153" t="str">
        <f>IF(OR(D24="",D24=""),"",VLOOKUP(D24,'price and cost sheet'!B:F,5,0))</f>
        <v/>
      </c>
      <c r="R24" s="184" t="str">
        <f>IF(OR(D24="",D24=""),"",VLOOKUP(D24,'price and cost sheet'!$B:$F,4,0))</f>
        <v/>
      </c>
    </row>
    <row r="25" spans="1:18" ht="21.9" customHeight="1">
      <c r="A25" s="169">
        <v>19</v>
      </c>
      <c r="B25" s="141"/>
      <c r="C25" s="142"/>
      <c r="D25" s="358"/>
      <c r="E25" s="359"/>
      <c r="F25" s="360"/>
      <c r="G25" s="180"/>
      <c r="H25" s="139" t="str">
        <f>IF(OR(D25="",D25=""),"",VLOOKUP(D25,'price and cost sheet'!B:F,3,0))</f>
        <v/>
      </c>
      <c r="I25" s="157" t="s">
        <v>503</v>
      </c>
      <c r="J25" s="158" t="str">
        <f t="shared" si="0"/>
        <v/>
      </c>
      <c r="K25" s="153" t="str">
        <f>IF(OR(D25="",D25=""),"",VLOOKUP(D25,'price and cost sheet'!B:F,5,0))</f>
        <v/>
      </c>
      <c r="R25" s="184" t="str">
        <f>IF(OR(D25="",D25=""),"",VLOOKUP(D25,'price and cost sheet'!$B:$F,4,0))</f>
        <v/>
      </c>
    </row>
    <row r="26" spans="1:18" ht="21.9" customHeight="1">
      <c r="A26" s="169">
        <v>20</v>
      </c>
      <c r="B26" s="141"/>
      <c r="C26" s="142"/>
      <c r="D26" s="358"/>
      <c r="E26" s="359"/>
      <c r="F26" s="360"/>
      <c r="G26" s="180"/>
      <c r="H26" s="139" t="str">
        <f>IF(OR(D26="",D26=""),"",VLOOKUP(D26,'price and cost sheet'!B:F,3,0))</f>
        <v/>
      </c>
      <c r="I26" s="157" t="s">
        <v>503</v>
      </c>
      <c r="J26" s="158" t="str">
        <f t="shared" si="0"/>
        <v/>
      </c>
      <c r="K26" s="153" t="str">
        <f>IF(OR(D26="",D26=""),"",VLOOKUP(D26,'price and cost sheet'!B:F,5,0))</f>
        <v/>
      </c>
      <c r="R26" s="184" t="str">
        <f>IF(OR(D26="",D26=""),"",VLOOKUP(D26,'price and cost sheet'!$B:$F,4,0))</f>
        <v/>
      </c>
    </row>
    <row r="27" spans="1:18" ht="21.9" customHeight="1">
      <c r="A27" s="169">
        <v>21</v>
      </c>
      <c r="B27" s="137"/>
      <c r="C27" s="145"/>
      <c r="D27" s="378"/>
      <c r="E27" s="379"/>
      <c r="F27" s="380"/>
      <c r="G27" s="181"/>
      <c r="H27" s="139" t="str">
        <f>IF(OR(D27="",D27=""),"",VLOOKUP(D27,'price and cost sheet'!B:F,3,0))</f>
        <v/>
      </c>
      <c r="I27" s="157" t="s">
        <v>503</v>
      </c>
      <c r="J27" s="158" t="str">
        <f t="shared" si="0"/>
        <v/>
      </c>
      <c r="K27" s="153" t="str">
        <f>IF(OR(D27="",D27=""),"",VLOOKUP(D27,'price and cost sheet'!B:F,5,0))</f>
        <v/>
      </c>
      <c r="R27" s="184" t="str">
        <f>IF(OR(D27="",D27=""),"",VLOOKUP(D27,'price and cost sheet'!$B:$F,4,0))</f>
        <v/>
      </c>
    </row>
    <row r="28" spans="1:18" ht="21.9" customHeight="1">
      <c r="A28" s="169">
        <v>22</v>
      </c>
      <c r="B28" s="137"/>
      <c r="C28" s="145"/>
      <c r="D28" s="378"/>
      <c r="E28" s="379"/>
      <c r="F28" s="380"/>
      <c r="G28" s="181"/>
      <c r="H28" s="139" t="str">
        <f>IF(OR(D28="",D28=""),"",VLOOKUP(D28,'price and cost sheet'!B:F,3,0))</f>
        <v/>
      </c>
      <c r="I28" s="157" t="s">
        <v>503</v>
      </c>
      <c r="J28" s="158" t="str">
        <f t="shared" si="0"/>
        <v/>
      </c>
      <c r="K28" s="153" t="str">
        <f>IF(OR(D28="",D28=""),"",VLOOKUP(D28,'price and cost sheet'!B:F,5,0))</f>
        <v/>
      </c>
      <c r="R28" s="184" t="str">
        <f>IF(OR(D28="",D28=""),"",VLOOKUP(D28,'price and cost sheet'!$B:$F,4,0))</f>
        <v/>
      </c>
    </row>
    <row r="29" spans="1:18" ht="21.9" customHeight="1">
      <c r="A29" s="169">
        <v>23</v>
      </c>
      <c r="B29" s="137"/>
      <c r="C29" s="145"/>
      <c r="D29" s="378"/>
      <c r="E29" s="379"/>
      <c r="F29" s="380"/>
      <c r="G29" s="181"/>
      <c r="H29" s="139" t="str">
        <f>IF(OR(D29="",D29=""),"",VLOOKUP(D29,'price and cost sheet'!B:F,3,0))</f>
        <v/>
      </c>
      <c r="I29" s="157" t="s">
        <v>503</v>
      </c>
      <c r="J29" s="158" t="str">
        <f t="shared" si="0"/>
        <v/>
      </c>
      <c r="K29" s="153" t="str">
        <f>IF(OR(D29="",D29=""),"",VLOOKUP(D29,'price and cost sheet'!B:F,5,0))</f>
        <v/>
      </c>
      <c r="R29" s="184" t="str">
        <f>IF(OR(D29="",D29=""),"",VLOOKUP(D29,'price and cost sheet'!$B:$F,4,0))</f>
        <v/>
      </c>
    </row>
    <row r="30" spans="1:18" ht="21.9" customHeight="1">
      <c r="A30" s="169">
        <v>24</v>
      </c>
      <c r="B30" s="137"/>
      <c r="C30" s="145"/>
      <c r="D30" s="378"/>
      <c r="E30" s="379"/>
      <c r="F30" s="380"/>
      <c r="G30" s="181"/>
      <c r="H30" s="139" t="str">
        <f>IF(OR(D30="",D30=""),"",VLOOKUP(D30,'price and cost sheet'!B:F,3,0))</f>
        <v/>
      </c>
      <c r="I30" s="157" t="s">
        <v>503</v>
      </c>
      <c r="J30" s="158" t="str">
        <f t="shared" si="0"/>
        <v/>
      </c>
      <c r="K30" s="153" t="str">
        <f>IF(OR(D30="",D30=""),"",VLOOKUP(D30,'price and cost sheet'!B:F,5,0))</f>
        <v/>
      </c>
      <c r="R30" s="184" t="str">
        <f>IF(OR(D30="",D30=""),"",VLOOKUP(D30,'price and cost sheet'!$B:$F,4,0))</f>
        <v/>
      </c>
    </row>
    <row r="31" spans="1:18" ht="21.9" customHeight="1">
      <c r="A31" s="169">
        <v>25</v>
      </c>
      <c r="B31" s="137"/>
      <c r="C31" s="145"/>
      <c r="D31" s="378"/>
      <c r="E31" s="379"/>
      <c r="F31" s="380"/>
      <c r="G31" s="181"/>
      <c r="H31" s="139" t="str">
        <f>IF(OR(D31="",D31=""),"",VLOOKUP(D31,'price and cost sheet'!B:F,3,0))</f>
        <v/>
      </c>
      <c r="I31" s="157" t="s">
        <v>503</v>
      </c>
      <c r="J31" s="158" t="str">
        <f t="shared" si="0"/>
        <v/>
      </c>
      <c r="K31" s="153" t="str">
        <f>IF(OR(D31="",D31=""),"",VLOOKUP(D31,'price and cost sheet'!B:F,5,0))</f>
        <v/>
      </c>
      <c r="R31" s="184" t="str">
        <f>IF(OR(D31="",D31=""),"",VLOOKUP(D31,'price and cost sheet'!$B:$F,4,0))</f>
        <v/>
      </c>
    </row>
    <row r="32" spans="1:18" ht="21.9" customHeight="1">
      <c r="A32" s="169">
        <v>26</v>
      </c>
      <c r="B32" s="182"/>
      <c r="C32" s="145"/>
      <c r="D32" s="378"/>
      <c r="E32" s="379"/>
      <c r="F32" s="380"/>
      <c r="G32" s="181"/>
      <c r="H32" s="139" t="str">
        <f>IF(OR(D32="",D32=""),"",VLOOKUP(D32,'price and cost sheet'!B:F,3,0))</f>
        <v/>
      </c>
      <c r="I32" s="157" t="s">
        <v>503</v>
      </c>
      <c r="J32" s="158" t="str">
        <f t="shared" si="0"/>
        <v/>
      </c>
      <c r="K32" s="153" t="str">
        <f>IF(OR(D32="",D32=""),"",VLOOKUP(D32,'price and cost sheet'!B:F,5,0))</f>
        <v/>
      </c>
      <c r="R32" s="184" t="str">
        <f>IF(OR(D32="",D32=""),"",VLOOKUP(D32,'price and cost sheet'!$B:$F,4,0))</f>
        <v/>
      </c>
    </row>
    <row r="33" spans="1:18" ht="21.9" customHeight="1">
      <c r="A33" s="169">
        <v>27</v>
      </c>
      <c r="B33" s="182"/>
      <c r="C33" s="145"/>
      <c r="D33" s="378"/>
      <c r="E33" s="379"/>
      <c r="F33" s="380"/>
      <c r="G33" s="181"/>
      <c r="H33" s="139" t="str">
        <f>IF(OR(D33="",D33=""),"",VLOOKUP(D33,'price and cost sheet'!B:F,3,0))</f>
        <v/>
      </c>
      <c r="I33" s="157" t="s">
        <v>503</v>
      </c>
      <c r="J33" s="158" t="str">
        <f t="shared" si="0"/>
        <v/>
      </c>
      <c r="K33" s="153" t="str">
        <f>IF(OR(D33="",D33=""),"",VLOOKUP(D33,'price and cost sheet'!B:F,5,0))</f>
        <v/>
      </c>
      <c r="R33" s="184" t="str">
        <f>IF(OR(D33="",D33=""),"",VLOOKUP(D33,'price and cost sheet'!$B:$F,4,0))</f>
        <v/>
      </c>
    </row>
    <row r="34" spans="1:18" ht="21.9" customHeight="1">
      <c r="A34" s="169">
        <v>28</v>
      </c>
      <c r="B34" s="182"/>
      <c r="C34" s="145"/>
      <c r="D34" s="378"/>
      <c r="E34" s="379"/>
      <c r="F34" s="380"/>
      <c r="G34" s="181"/>
      <c r="H34" s="139" t="str">
        <f>IF(OR(D34="",D34=""),"",VLOOKUP(D34,'price and cost sheet'!B:F,3,0))</f>
        <v/>
      </c>
      <c r="I34" s="157" t="s">
        <v>503</v>
      </c>
      <c r="J34" s="158" t="str">
        <f t="shared" si="0"/>
        <v/>
      </c>
      <c r="K34" s="153" t="str">
        <f>IF(OR(D34="",D34=""),"",VLOOKUP(D34,'price and cost sheet'!B:F,5,0))</f>
        <v/>
      </c>
      <c r="R34" s="184" t="str">
        <f>IF(OR(D34="",D34=""),"",VLOOKUP(D34,'price and cost sheet'!$B:$F,4,0))</f>
        <v/>
      </c>
    </row>
    <row r="35" spans="1:18" ht="24" customHeight="1">
      <c r="A35" s="167"/>
      <c r="B35" s="353" t="s">
        <v>504</v>
      </c>
      <c r="C35" s="354"/>
      <c r="D35" s="355"/>
      <c r="E35" s="356"/>
      <c r="F35" s="357"/>
      <c r="G35" s="169"/>
      <c r="H35" s="167"/>
      <c r="I35" s="167"/>
      <c r="J35" s="177">
        <f>SUM(J7:J34)*0.95</f>
        <v>0</v>
      </c>
      <c r="K35" s="153"/>
    </row>
    <row r="36" spans="1:18" ht="29.25" customHeight="1">
      <c r="A36" s="373"/>
      <c r="B36" s="374"/>
      <c r="K36"/>
    </row>
    <row r="37" spans="1:18" s="128" customFormat="1" ht="20.399999999999999">
      <c r="A37" s="375" t="s">
        <v>486</v>
      </c>
      <c r="B37" s="375"/>
      <c r="C37" s="375"/>
      <c r="D37" s="375"/>
      <c r="E37" s="375"/>
      <c r="F37" s="375"/>
      <c r="G37" s="375"/>
      <c r="H37" s="375"/>
      <c r="I37" s="375"/>
      <c r="J37" s="375"/>
      <c r="K37"/>
    </row>
    <row r="38" spans="1:18" s="128" customFormat="1" ht="22.8">
      <c r="A38" s="376" t="s">
        <v>487</v>
      </c>
      <c r="B38" s="377"/>
      <c r="C38" s="377"/>
      <c r="D38" s="377"/>
      <c r="E38" s="377"/>
      <c r="F38" s="377"/>
      <c r="G38" s="377"/>
      <c r="H38" s="377"/>
      <c r="I38" s="377"/>
      <c r="J38" s="377"/>
      <c r="K38"/>
    </row>
    <row r="39" spans="1:18" ht="30" customHeight="1">
      <c r="A39" s="149" t="s">
        <v>488</v>
      </c>
      <c r="B39" s="366"/>
      <c r="C39" s="367"/>
      <c r="D39" s="368" t="s">
        <v>489</v>
      </c>
      <c r="E39" s="369"/>
      <c r="F39" s="133"/>
      <c r="G39" s="368" t="s">
        <v>490</v>
      </c>
      <c r="H39" s="369"/>
      <c r="I39" s="366"/>
      <c r="J39" s="367"/>
      <c r="K39" s="164" t="s">
        <v>491</v>
      </c>
    </row>
    <row r="40" spans="1:18" ht="24" customHeight="1">
      <c r="A40" s="364" t="s">
        <v>492</v>
      </c>
      <c r="B40" s="347" t="s">
        <v>493</v>
      </c>
      <c r="C40" s="349"/>
      <c r="D40" s="347" t="s">
        <v>494</v>
      </c>
      <c r="E40" s="348"/>
      <c r="F40" s="349"/>
      <c r="G40" s="370" t="s">
        <v>495</v>
      </c>
      <c r="H40" s="371"/>
      <c r="I40" s="371"/>
      <c r="J40" s="372"/>
      <c r="K40" s="345" t="s">
        <v>496</v>
      </c>
    </row>
    <row r="41" spans="1:18" ht="24" customHeight="1">
      <c r="A41" s="365"/>
      <c r="B41" s="134" t="s">
        <v>497</v>
      </c>
      <c r="C41" s="134" t="s">
        <v>498</v>
      </c>
      <c r="D41" s="350"/>
      <c r="E41" s="351"/>
      <c r="F41" s="352"/>
      <c r="G41" s="135" t="s">
        <v>499</v>
      </c>
      <c r="H41" s="135" t="s">
        <v>500</v>
      </c>
      <c r="I41" s="135" t="s">
        <v>501</v>
      </c>
      <c r="J41" s="135" t="s">
        <v>502</v>
      </c>
      <c r="K41" s="346"/>
    </row>
    <row r="42" spans="1:18" ht="24" customHeight="1">
      <c r="A42" s="151">
        <v>1</v>
      </c>
      <c r="B42" s="137"/>
      <c r="C42" s="137"/>
      <c r="D42" s="361"/>
      <c r="E42" s="362"/>
      <c r="F42" s="363"/>
      <c r="G42" s="152"/>
      <c r="H42" s="153" t="str">
        <f>IF(OR(D42="",D42=""),"",VLOOKUP(D42,'price and cost sheet'!C:F,2,0))</f>
        <v/>
      </c>
      <c r="I42" s="157" t="s">
        <v>503</v>
      </c>
      <c r="J42" s="158" t="str">
        <f t="shared" ref="J42:J81" si="1">IF(OR(D42="",G42=""),"",G42*I42)</f>
        <v/>
      </c>
      <c r="K42" s="153" t="str">
        <f>IF(OR(D42="",D42=""),"",VLOOKUP(D42,'price and cost sheet'!C:F,4,0))</f>
        <v/>
      </c>
      <c r="N42" s="165"/>
      <c r="R42" s="184" t="str">
        <f>IF(OR(D42="",D42=""),"",VLOOKUP(D42,'price and cost sheet'!$C:$F,3,0))</f>
        <v/>
      </c>
    </row>
    <row r="43" spans="1:18" ht="24" customHeight="1">
      <c r="A43" s="151">
        <v>2</v>
      </c>
      <c r="B43" s="137"/>
      <c r="C43" s="137"/>
      <c r="D43" s="361"/>
      <c r="E43" s="362"/>
      <c r="F43" s="363"/>
      <c r="G43" s="152"/>
      <c r="H43" s="153" t="str">
        <f>IF(OR(D43="",D43=""),"",VLOOKUP(D43,'price and cost sheet'!C:F,2,0))</f>
        <v/>
      </c>
      <c r="I43" s="157" t="s">
        <v>503</v>
      </c>
      <c r="J43" s="158" t="str">
        <f t="shared" si="1"/>
        <v/>
      </c>
      <c r="K43" s="153" t="str">
        <f>IF(OR(D43="",D43=""),"",VLOOKUP(D43,'price and cost sheet'!C:F,4,0))</f>
        <v/>
      </c>
      <c r="N43" s="165"/>
      <c r="R43" s="184" t="str">
        <f>IF(OR(D43="",D43=""),"",VLOOKUP(D43,'price and cost sheet'!$C:$F,3,0))</f>
        <v/>
      </c>
    </row>
    <row r="44" spans="1:18" ht="24" customHeight="1">
      <c r="A44" s="151">
        <v>3</v>
      </c>
      <c r="B44" s="137"/>
      <c r="C44" s="137"/>
      <c r="D44" s="358"/>
      <c r="E44" s="359"/>
      <c r="F44" s="360"/>
      <c r="G44" s="152"/>
      <c r="H44" s="153" t="str">
        <f>IF(OR(D44="",D44=""),"",VLOOKUP(D44,'price and cost sheet'!C:F,2,0))</f>
        <v/>
      </c>
      <c r="I44" s="157" t="s">
        <v>503</v>
      </c>
      <c r="J44" s="158" t="str">
        <f t="shared" si="1"/>
        <v/>
      </c>
      <c r="K44" s="153" t="str">
        <f>IF(OR(D44="",D44=""),"",VLOOKUP(D44,'price and cost sheet'!C:F,4,0))</f>
        <v/>
      </c>
      <c r="N44" s="165"/>
      <c r="O44" s="161"/>
      <c r="R44" s="184" t="str">
        <f>IF(OR(D44="",D44=""),"",VLOOKUP(D44,'price and cost sheet'!$C:$F,3,0))</f>
        <v/>
      </c>
    </row>
    <row r="45" spans="1:18" ht="24" customHeight="1">
      <c r="A45" s="151">
        <v>4</v>
      </c>
      <c r="B45" s="137"/>
      <c r="C45" s="137"/>
      <c r="D45" s="358"/>
      <c r="E45" s="359"/>
      <c r="F45" s="360"/>
      <c r="G45" s="152"/>
      <c r="H45" s="153" t="str">
        <f>IF(OR(D45="",D45=""),"",VLOOKUP(D45,'price and cost sheet'!C:F,2,0))</f>
        <v/>
      </c>
      <c r="I45" s="157" t="s">
        <v>503</v>
      </c>
      <c r="J45" s="158" t="str">
        <f t="shared" si="1"/>
        <v/>
      </c>
      <c r="K45" s="153" t="str">
        <f>IF(OR(D45="",D45=""),"",VLOOKUP(D45,'price and cost sheet'!C:F,4,0))</f>
        <v/>
      </c>
      <c r="N45" s="165"/>
      <c r="R45" s="184" t="str">
        <f>IF(OR(D45="",D45=""),"",VLOOKUP(D45,'price and cost sheet'!$C:$F,3,0))</f>
        <v/>
      </c>
    </row>
    <row r="46" spans="1:18" ht="24" customHeight="1">
      <c r="A46" s="151">
        <v>5</v>
      </c>
      <c r="B46" s="137"/>
      <c r="C46" s="137"/>
      <c r="D46" s="358"/>
      <c r="E46" s="359"/>
      <c r="F46" s="360"/>
      <c r="G46" s="138"/>
      <c r="H46" s="153" t="str">
        <f>IF(OR(D46="",D46=""),"",VLOOKUP(D46,'price and cost sheet'!C:F,2,0))</f>
        <v/>
      </c>
      <c r="I46" s="157" t="s">
        <v>503</v>
      </c>
      <c r="J46" s="158" t="str">
        <f t="shared" si="1"/>
        <v/>
      </c>
      <c r="K46" s="153" t="str">
        <f>IF(OR(D46="",D46=""),"",VLOOKUP(D46,'price and cost sheet'!C:F,4,0))</f>
        <v/>
      </c>
      <c r="N46" s="165"/>
      <c r="R46" s="184" t="str">
        <f>IF(OR(D46="",D46=""),"",VLOOKUP(D46,'price and cost sheet'!$C:$F,3,0))</f>
        <v/>
      </c>
    </row>
    <row r="47" spans="1:18" ht="24" customHeight="1">
      <c r="A47" s="151">
        <v>6</v>
      </c>
      <c r="B47" s="137"/>
      <c r="C47" s="137"/>
      <c r="D47" s="358"/>
      <c r="E47" s="359"/>
      <c r="F47" s="360"/>
      <c r="G47" s="138"/>
      <c r="H47" s="153" t="str">
        <f>IF(OR(D47="",D47=""),"",VLOOKUP(D47,'price and cost sheet'!C:F,2,0))</f>
        <v/>
      </c>
      <c r="I47" s="157" t="s">
        <v>503</v>
      </c>
      <c r="J47" s="158" t="str">
        <f t="shared" si="1"/>
        <v/>
      </c>
      <c r="K47" s="153" t="str">
        <f>IF(OR(D47="",D47=""),"",VLOOKUP(D47,'price and cost sheet'!C:F,4,0))</f>
        <v/>
      </c>
      <c r="N47" s="165"/>
      <c r="R47" s="184" t="str">
        <f>IF(OR(D47="",D47=""),"",VLOOKUP(D47,'price and cost sheet'!$C:$F,3,0))</f>
        <v/>
      </c>
    </row>
    <row r="48" spans="1:18" ht="24" customHeight="1">
      <c r="A48" s="151">
        <v>7</v>
      </c>
      <c r="B48" s="137"/>
      <c r="C48" s="137"/>
      <c r="D48" s="358"/>
      <c r="E48" s="359"/>
      <c r="F48" s="360"/>
      <c r="G48" s="138"/>
      <c r="H48" s="153" t="str">
        <f>IF(OR(D48="",D48=""),"",VLOOKUP(D48,'price and cost sheet'!C:F,2,0))</f>
        <v/>
      </c>
      <c r="I48" s="157" t="s">
        <v>503</v>
      </c>
      <c r="J48" s="158" t="str">
        <f t="shared" si="1"/>
        <v/>
      </c>
      <c r="K48" s="153" t="str">
        <f>IF(OR(D48="",D48=""),"",VLOOKUP(D48,'price and cost sheet'!C:F,4,0))</f>
        <v/>
      </c>
      <c r="R48" s="184" t="str">
        <f>IF(OR(D48="",D48=""),"",VLOOKUP(D48,'price and cost sheet'!$C:$F,3,0))</f>
        <v/>
      </c>
    </row>
    <row r="49" spans="1:18" ht="24" customHeight="1">
      <c r="A49" s="151">
        <v>8</v>
      </c>
      <c r="B49" s="137"/>
      <c r="C49" s="137"/>
      <c r="D49" s="358"/>
      <c r="E49" s="359"/>
      <c r="F49" s="360"/>
      <c r="G49" s="138"/>
      <c r="H49" s="153" t="str">
        <f>IF(OR(D49="",D49=""),"",VLOOKUP(D49,'price and cost sheet'!C:F,2,0))</f>
        <v/>
      </c>
      <c r="I49" s="157" t="s">
        <v>503</v>
      </c>
      <c r="J49" s="158" t="str">
        <f t="shared" si="1"/>
        <v/>
      </c>
      <c r="K49" s="153" t="str">
        <f>IF(OR(D49="",D49=""),"",VLOOKUP(D49,'price and cost sheet'!C:F,4,0))</f>
        <v/>
      </c>
      <c r="R49" s="184" t="str">
        <f>IF(OR(D49="",D49=""),"",VLOOKUP(D49,'price and cost sheet'!$C:$F,3,0))</f>
        <v/>
      </c>
    </row>
    <row r="50" spans="1:18" ht="24" customHeight="1">
      <c r="A50" s="151">
        <v>9</v>
      </c>
      <c r="B50" s="137"/>
      <c r="C50" s="137"/>
      <c r="D50" s="358"/>
      <c r="E50" s="359"/>
      <c r="F50" s="360"/>
      <c r="G50" s="166"/>
      <c r="H50" s="153" t="str">
        <f>IF(OR(D50="",D50=""),"",VLOOKUP(D50,'price and cost sheet'!C:F,2,0))</f>
        <v/>
      </c>
      <c r="I50" s="157" t="s">
        <v>503</v>
      </c>
      <c r="J50" s="158" t="str">
        <f t="shared" si="1"/>
        <v/>
      </c>
      <c r="K50" s="153" t="str">
        <f>IF(OR(D50="",D50=""),"",VLOOKUP(D50,'price and cost sheet'!C:F,4,0))</f>
        <v/>
      </c>
      <c r="R50" s="184" t="str">
        <f>IF(OR(D50="",D50=""),"",VLOOKUP(D50,'price and cost sheet'!$C:$F,3,0))</f>
        <v/>
      </c>
    </row>
    <row r="51" spans="1:18" ht="24" customHeight="1">
      <c r="A51" s="151">
        <v>10</v>
      </c>
      <c r="B51" s="137"/>
      <c r="C51" s="137"/>
      <c r="D51" s="358"/>
      <c r="E51" s="359"/>
      <c r="F51" s="360"/>
      <c r="G51" s="166"/>
      <c r="H51" s="153" t="str">
        <f>IF(OR(D51="",D51=""),"",VLOOKUP(D51,'price and cost sheet'!C:F,2,0))</f>
        <v/>
      </c>
      <c r="I51" s="157" t="s">
        <v>503</v>
      </c>
      <c r="J51" s="158" t="str">
        <f t="shared" si="1"/>
        <v/>
      </c>
      <c r="K51" s="153" t="str">
        <f>IF(OR(D51="",D51=""),"",VLOOKUP(D51,'price and cost sheet'!C:F,4,0))</f>
        <v/>
      </c>
      <c r="R51" s="184" t="str">
        <f>IF(OR(D51="",D51=""),"",VLOOKUP(D51,'price and cost sheet'!$C:$F,3,0))</f>
        <v/>
      </c>
    </row>
    <row r="52" spans="1:18" ht="24" customHeight="1">
      <c r="A52" s="151">
        <v>11</v>
      </c>
      <c r="B52" s="137"/>
      <c r="C52" s="137"/>
      <c r="D52" s="358"/>
      <c r="E52" s="359"/>
      <c r="F52" s="360"/>
      <c r="G52" s="166"/>
      <c r="H52" s="153" t="str">
        <f>IF(OR(D52="",D52=""),"",VLOOKUP(D52,'price and cost sheet'!C:F,2,0))</f>
        <v/>
      </c>
      <c r="I52" s="157" t="s">
        <v>503</v>
      </c>
      <c r="J52" s="158" t="str">
        <f t="shared" si="1"/>
        <v/>
      </c>
      <c r="K52" s="153" t="str">
        <f>IF(OR(D52="",D52=""),"",VLOOKUP(D52,'price and cost sheet'!C:F,4,0))</f>
        <v/>
      </c>
      <c r="R52" s="184" t="str">
        <f>IF(OR(D52="",D52=""),"",VLOOKUP(D52,'price and cost sheet'!$C:$F,3,0))</f>
        <v/>
      </c>
    </row>
    <row r="53" spans="1:18" ht="24" customHeight="1">
      <c r="A53" s="151">
        <v>12</v>
      </c>
      <c r="B53" s="137"/>
      <c r="C53" s="137"/>
      <c r="D53" s="358"/>
      <c r="E53" s="359"/>
      <c r="F53" s="360"/>
      <c r="G53" s="166"/>
      <c r="H53" s="153" t="str">
        <f>IF(OR(D53="",D53=""),"",VLOOKUP(D53,'price and cost sheet'!C:F,2,0))</f>
        <v/>
      </c>
      <c r="I53" s="157" t="s">
        <v>503</v>
      </c>
      <c r="J53" s="158" t="str">
        <f t="shared" si="1"/>
        <v/>
      </c>
      <c r="K53" s="153" t="str">
        <f>IF(OR(D53="",D53=""),"",VLOOKUP(D53,'price and cost sheet'!C:F,4,0))</f>
        <v/>
      </c>
      <c r="R53" s="184" t="str">
        <f>IF(OR(D53="",D53=""),"",VLOOKUP(D53,'price and cost sheet'!$C:$F,3,0))</f>
        <v/>
      </c>
    </row>
    <row r="54" spans="1:18" ht="24" customHeight="1">
      <c r="A54" s="151">
        <v>13</v>
      </c>
      <c r="B54" s="137"/>
      <c r="C54" s="137"/>
      <c r="D54" s="358"/>
      <c r="E54" s="359"/>
      <c r="F54" s="360"/>
      <c r="G54" s="166"/>
      <c r="H54" s="153" t="str">
        <f>IF(OR(D54="",D54=""),"",VLOOKUP(D54,'price and cost sheet'!C:F,2,0))</f>
        <v/>
      </c>
      <c r="I54" s="157" t="s">
        <v>503</v>
      </c>
      <c r="J54" s="158" t="str">
        <f t="shared" si="1"/>
        <v/>
      </c>
      <c r="K54" s="153" t="str">
        <f>IF(OR(D54="",D54=""),"",VLOOKUP(D54,'price and cost sheet'!C:F,4,0))</f>
        <v/>
      </c>
      <c r="R54" s="184" t="str">
        <f>IF(OR(D54="",D54=""),"",VLOOKUP(D54,'price and cost sheet'!$C:$F,3,0))</f>
        <v/>
      </c>
    </row>
    <row r="55" spans="1:18" ht="24" customHeight="1">
      <c r="A55" s="151">
        <v>14</v>
      </c>
      <c r="B55" s="137"/>
      <c r="C55" s="137"/>
      <c r="D55" s="358"/>
      <c r="E55" s="359"/>
      <c r="F55" s="360"/>
      <c r="G55" s="166"/>
      <c r="H55" s="153" t="str">
        <f>IF(OR(D55="",D55=""),"",VLOOKUP(D55,'price and cost sheet'!C:F,2,0))</f>
        <v/>
      </c>
      <c r="I55" s="157" t="s">
        <v>503</v>
      </c>
      <c r="J55" s="158" t="str">
        <f t="shared" si="1"/>
        <v/>
      </c>
      <c r="K55" s="153" t="str">
        <f>IF(OR(D55="",D55=""),"",VLOOKUP(D55,'price and cost sheet'!C:F,4,0))</f>
        <v/>
      </c>
      <c r="R55" s="184" t="str">
        <f>IF(OR(D55="",D55=""),"",VLOOKUP(D55,'price and cost sheet'!$C:$F,3,0))</f>
        <v/>
      </c>
    </row>
    <row r="56" spans="1:18" ht="24" customHeight="1">
      <c r="A56" s="151">
        <v>15</v>
      </c>
      <c r="B56" s="137"/>
      <c r="C56" s="137"/>
      <c r="D56" s="361"/>
      <c r="E56" s="362"/>
      <c r="F56" s="363"/>
      <c r="G56" s="166"/>
      <c r="H56" s="153" t="str">
        <f>IF(OR(D56="",D56=""),"",VLOOKUP(D56,'price and cost sheet'!C:F,2,0))</f>
        <v/>
      </c>
      <c r="I56" s="157" t="s">
        <v>503</v>
      </c>
      <c r="J56" s="158" t="str">
        <f t="shared" si="1"/>
        <v/>
      </c>
      <c r="K56" s="153" t="str">
        <f>IF(OR(D56="",D56=""),"",VLOOKUP(D56,'price and cost sheet'!C:F,4,0))</f>
        <v/>
      </c>
      <c r="R56" s="184" t="str">
        <f>IF(OR(D56="",D56=""),"",VLOOKUP(D56,'price and cost sheet'!$C:$F,3,0))</f>
        <v/>
      </c>
    </row>
    <row r="57" spans="1:18" ht="24" customHeight="1">
      <c r="A57" s="151">
        <v>16</v>
      </c>
      <c r="B57" s="137"/>
      <c r="C57" s="137"/>
      <c r="D57" s="361"/>
      <c r="E57" s="362"/>
      <c r="F57" s="363"/>
      <c r="G57" s="166"/>
      <c r="H57" s="153" t="str">
        <f>IF(OR(D57="",D57=""),"",VLOOKUP(D57,'price and cost sheet'!C:F,2,0))</f>
        <v/>
      </c>
      <c r="I57" s="157" t="s">
        <v>503</v>
      </c>
      <c r="J57" s="158" t="str">
        <f t="shared" si="1"/>
        <v/>
      </c>
      <c r="K57" s="153" t="str">
        <f>IF(OR(D57="",D57=""),"",VLOOKUP(D57,'price and cost sheet'!C:F,4,0))</f>
        <v/>
      </c>
      <c r="R57" s="184" t="str">
        <f>IF(OR(D57="",D57=""),"",VLOOKUP(D57,'price and cost sheet'!$C:$F,3,0))</f>
        <v/>
      </c>
    </row>
    <row r="58" spans="1:18" ht="24" customHeight="1">
      <c r="A58" s="151">
        <v>17</v>
      </c>
      <c r="B58" s="137"/>
      <c r="C58" s="137"/>
      <c r="D58" s="361"/>
      <c r="E58" s="362"/>
      <c r="F58" s="363"/>
      <c r="G58" s="166"/>
      <c r="H58" s="153" t="str">
        <f>IF(OR(D58="",D58=""),"",VLOOKUP(D58,'price and cost sheet'!C:F,2,0))</f>
        <v/>
      </c>
      <c r="I58" s="157" t="s">
        <v>503</v>
      </c>
      <c r="J58" s="158" t="str">
        <f t="shared" si="1"/>
        <v/>
      </c>
      <c r="K58" s="153" t="str">
        <f>IF(OR(D58="",D58=""),"",VLOOKUP(D58,'price and cost sheet'!C:F,4,0))</f>
        <v/>
      </c>
      <c r="R58" s="184" t="str">
        <f>IF(OR(D58="",D58=""),"",VLOOKUP(D58,'price and cost sheet'!$C:$F,3,0))</f>
        <v/>
      </c>
    </row>
    <row r="59" spans="1:18" ht="24" customHeight="1">
      <c r="A59" s="151">
        <v>18</v>
      </c>
      <c r="B59" s="137"/>
      <c r="C59" s="137"/>
      <c r="D59" s="361"/>
      <c r="E59" s="362"/>
      <c r="F59" s="363"/>
      <c r="G59" s="166"/>
      <c r="H59" s="153" t="str">
        <f>IF(OR(D59="",D59=""),"",VLOOKUP(D59,'price and cost sheet'!C:F,2,0))</f>
        <v/>
      </c>
      <c r="I59" s="157" t="s">
        <v>503</v>
      </c>
      <c r="J59" s="158" t="str">
        <f t="shared" si="1"/>
        <v/>
      </c>
      <c r="K59" s="153" t="str">
        <f>IF(OR(D59="",D59=""),"",VLOOKUP(D59,'price and cost sheet'!C:F,4,0))</f>
        <v/>
      </c>
      <c r="R59" s="184" t="str">
        <f>IF(OR(D59="",D59=""),"",VLOOKUP(D59,'price and cost sheet'!$C:$F,3,0))</f>
        <v/>
      </c>
    </row>
    <row r="60" spans="1:18" ht="24" customHeight="1">
      <c r="A60" s="151">
        <v>19</v>
      </c>
      <c r="B60" s="137"/>
      <c r="C60" s="137"/>
      <c r="D60" s="361"/>
      <c r="E60" s="362"/>
      <c r="F60" s="363"/>
      <c r="G60" s="166"/>
      <c r="H60" s="153" t="str">
        <f>IF(OR(D60="",D60=""),"",VLOOKUP(D60,'price and cost sheet'!C:F,2,0))</f>
        <v/>
      </c>
      <c r="I60" s="157" t="s">
        <v>503</v>
      </c>
      <c r="J60" s="158" t="str">
        <f t="shared" si="1"/>
        <v/>
      </c>
      <c r="K60" s="153" t="str">
        <f>IF(OR(D60="",D60=""),"",VLOOKUP(D60,'price and cost sheet'!C:F,4,0))</f>
        <v/>
      </c>
      <c r="R60" s="184" t="str">
        <f>IF(OR(D60="",D60=""),"",VLOOKUP(D60,'price and cost sheet'!$C:$F,3,0))</f>
        <v/>
      </c>
    </row>
    <row r="61" spans="1:18" ht="24" customHeight="1">
      <c r="A61" s="151">
        <v>20</v>
      </c>
      <c r="B61" s="137"/>
      <c r="C61" s="137"/>
      <c r="D61" s="361"/>
      <c r="E61" s="362"/>
      <c r="F61" s="363"/>
      <c r="G61" s="166"/>
      <c r="H61" s="153" t="str">
        <f>IF(OR(D61="",D61=""),"",VLOOKUP(D61,'price and cost sheet'!C:F,2,0))</f>
        <v/>
      </c>
      <c r="I61" s="157" t="s">
        <v>503</v>
      </c>
      <c r="J61" s="158" t="str">
        <f t="shared" si="1"/>
        <v/>
      </c>
      <c r="K61" s="153" t="str">
        <f>IF(OR(D61="",D61=""),"",VLOOKUP(D61,'price and cost sheet'!C:F,4,0))</f>
        <v/>
      </c>
      <c r="R61" s="184" t="str">
        <f>IF(OR(D61="",D61=""),"",VLOOKUP(D61,'price and cost sheet'!$C:$F,3,0))</f>
        <v/>
      </c>
    </row>
    <row r="62" spans="1:18" ht="24" customHeight="1">
      <c r="A62" s="151">
        <v>21</v>
      </c>
      <c r="B62" s="137"/>
      <c r="C62" s="137"/>
      <c r="D62" s="358"/>
      <c r="E62" s="359"/>
      <c r="F62" s="360"/>
      <c r="G62" s="166"/>
      <c r="H62" s="153" t="str">
        <f>IF(OR(D62="",D62=""),"",VLOOKUP(D62,'price and cost sheet'!C:F,2,0))</f>
        <v/>
      </c>
      <c r="I62" s="157" t="s">
        <v>503</v>
      </c>
      <c r="J62" s="158" t="str">
        <f t="shared" si="1"/>
        <v/>
      </c>
      <c r="K62" s="153" t="str">
        <f>IF(OR(D62="",D62=""),"",VLOOKUP(D62,'price and cost sheet'!C:F,4,0))</f>
        <v/>
      </c>
      <c r="R62" s="184" t="str">
        <f>IF(OR(D62="",D62=""),"",VLOOKUP(D62,'price and cost sheet'!$C:$F,3,0))</f>
        <v/>
      </c>
    </row>
    <row r="63" spans="1:18" ht="24" customHeight="1">
      <c r="A63" s="151">
        <v>22</v>
      </c>
      <c r="B63" s="137"/>
      <c r="C63" s="137"/>
      <c r="D63" s="358"/>
      <c r="E63" s="359"/>
      <c r="F63" s="360"/>
      <c r="G63" s="166"/>
      <c r="H63" s="153" t="str">
        <f>IF(OR(D63="",D63=""),"",VLOOKUP(D63,'price and cost sheet'!C:F,2,0))</f>
        <v/>
      </c>
      <c r="I63" s="157" t="s">
        <v>503</v>
      </c>
      <c r="J63" s="158" t="str">
        <f t="shared" si="1"/>
        <v/>
      </c>
      <c r="K63" s="153" t="str">
        <f>IF(OR(D63="",D63=""),"",VLOOKUP(D63,'price and cost sheet'!C:F,4,0))</f>
        <v/>
      </c>
      <c r="R63" s="184" t="str">
        <f>IF(OR(D63="",D63=""),"",VLOOKUP(D63,'price and cost sheet'!$C:$F,3,0))</f>
        <v/>
      </c>
    </row>
    <row r="64" spans="1:18" ht="24" customHeight="1">
      <c r="A64" s="151">
        <v>23</v>
      </c>
      <c r="B64" s="137"/>
      <c r="C64" s="137"/>
      <c r="D64" s="358"/>
      <c r="E64" s="359"/>
      <c r="F64" s="360"/>
      <c r="G64" s="166"/>
      <c r="H64" s="153" t="str">
        <f>IF(OR(D64="",D64=""),"",VLOOKUP(D64,'price and cost sheet'!C:F,2,0))</f>
        <v/>
      </c>
      <c r="I64" s="157" t="s">
        <v>503</v>
      </c>
      <c r="J64" s="158" t="str">
        <f t="shared" si="1"/>
        <v/>
      </c>
      <c r="K64" s="153" t="str">
        <f>IF(OR(D64="",D64=""),"",VLOOKUP(D64,'price and cost sheet'!C:F,4,0))</f>
        <v/>
      </c>
      <c r="R64" s="184" t="str">
        <f>IF(OR(D64="",D64=""),"",VLOOKUP(D64,'price and cost sheet'!$C:$F,3,0))</f>
        <v/>
      </c>
    </row>
    <row r="65" spans="1:18" ht="24" customHeight="1">
      <c r="A65" s="151">
        <v>24</v>
      </c>
      <c r="B65" s="137"/>
      <c r="C65" s="137"/>
      <c r="D65" s="358"/>
      <c r="E65" s="359"/>
      <c r="F65" s="360"/>
      <c r="G65" s="166"/>
      <c r="H65" s="153" t="str">
        <f>IF(OR(D65="",D65=""),"",VLOOKUP(D65,'price and cost sheet'!C:F,2,0))</f>
        <v/>
      </c>
      <c r="I65" s="157" t="s">
        <v>503</v>
      </c>
      <c r="J65" s="158" t="str">
        <f t="shared" si="1"/>
        <v/>
      </c>
      <c r="K65" s="153" t="str">
        <f>IF(OR(D65="",D65=""),"",VLOOKUP(D65,'price and cost sheet'!C:F,4,0))</f>
        <v/>
      </c>
      <c r="R65" s="184" t="str">
        <f>IF(OR(D65="",D65=""),"",VLOOKUP(D65,'price and cost sheet'!$C:$F,3,0))</f>
        <v/>
      </c>
    </row>
    <row r="66" spans="1:18" ht="24" customHeight="1">
      <c r="A66" s="151">
        <v>25</v>
      </c>
      <c r="B66" s="137"/>
      <c r="C66" s="137"/>
      <c r="D66" s="358"/>
      <c r="E66" s="359"/>
      <c r="F66" s="360"/>
      <c r="G66" s="166"/>
      <c r="H66" s="153" t="str">
        <f>IF(OR(D66="",D66=""),"",VLOOKUP(D66,'price and cost sheet'!C:F,2,0))</f>
        <v/>
      </c>
      <c r="I66" s="157" t="s">
        <v>503</v>
      </c>
      <c r="J66" s="158" t="str">
        <f t="shared" si="1"/>
        <v/>
      </c>
      <c r="K66" s="153" t="str">
        <f>IF(OR(D66="",D66=""),"",VLOOKUP(D66,'price and cost sheet'!C:F,4,0))</f>
        <v/>
      </c>
      <c r="R66" s="184" t="str">
        <f>IF(OR(D66="",D66=""),"",VLOOKUP(D66,'price and cost sheet'!$C:$F,3,0))</f>
        <v/>
      </c>
    </row>
    <row r="67" spans="1:18" ht="24" customHeight="1">
      <c r="A67" s="151">
        <v>26</v>
      </c>
      <c r="B67" s="137"/>
      <c r="C67" s="137"/>
      <c r="D67" s="358"/>
      <c r="E67" s="359"/>
      <c r="F67" s="360"/>
      <c r="G67" s="180"/>
      <c r="H67" s="153" t="str">
        <f>IF(OR(D67="",D67=""),"",VLOOKUP(D67,'price and cost sheet'!C:F,2,0))</f>
        <v/>
      </c>
      <c r="I67" s="157" t="s">
        <v>503</v>
      </c>
      <c r="J67" s="158" t="str">
        <f t="shared" si="1"/>
        <v/>
      </c>
      <c r="K67" s="153" t="str">
        <f>IF(OR(D67="",D67=""),"",VLOOKUP(D67,'price and cost sheet'!C:F,4,0))</f>
        <v/>
      </c>
      <c r="R67" s="184" t="str">
        <f>IF(OR(D67="",D67=""),"",VLOOKUP(D67,'price and cost sheet'!$C:$F,3,0))</f>
        <v/>
      </c>
    </row>
    <row r="68" spans="1:18" ht="24" customHeight="1">
      <c r="A68" s="151">
        <v>27</v>
      </c>
      <c r="B68" s="137"/>
      <c r="C68" s="137"/>
      <c r="D68" s="358"/>
      <c r="E68" s="359"/>
      <c r="F68" s="360"/>
      <c r="G68" s="180"/>
      <c r="H68" s="153" t="str">
        <f>IF(OR(D68="",D68=""),"",VLOOKUP(D68,'price and cost sheet'!C:F,2,0))</f>
        <v/>
      </c>
      <c r="I68" s="157" t="s">
        <v>503</v>
      </c>
      <c r="J68" s="158" t="str">
        <f t="shared" si="1"/>
        <v/>
      </c>
      <c r="K68" s="153" t="str">
        <f>IF(OR(D68="",D68=""),"",VLOOKUP(D68,'price and cost sheet'!C:F,4,0))</f>
        <v/>
      </c>
      <c r="R68" s="184" t="str">
        <f>IF(OR(D68="",D68=""),"",VLOOKUP(D68,'price and cost sheet'!$C:$F,3,0))</f>
        <v/>
      </c>
    </row>
    <row r="69" spans="1:18" ht="24" customHeight="1">
      <c r="A69" s="151">
        <v>28</v>
      </c>
      <c r="B69" s="137"/>
      <c r="C69" s="137"/>
      <c r="D69" s="358"/>
      <c r="E69" s="359"/>
      <c r="F69" s="360"/>
      <c r="G69" s="180"/>
      <c r="H69" s="153" t="str">
        <f>IF(OR(D69="",D69=""),"",VLOOKUP(D69,'price and cost sheet'!C:F,2,0))</f>
        <v/>
      </c>
      <c r="I69" s="157" t="s">
        <v>503</v>
      </c>
      <c r="J69" s="158" t="str">
        <f t="shared" si="1"/>
        <v/>
      </c>
      <c r="K69" s="153" t="str">
        <f>IF(OR(D69="",D69=""),"",VLOOKUP(D69,'price and cost sheet'!C:F,4,0))</f>
        <v/>
      </c>
      <c r="R69" s="184" t="str">
        <f>IF(OR(D69="",D69=""),"",VLOOKUP(D69,'price and cost sheet'!$C:$F,3,0))</f>
        <v/>
      </c>
    </row>
    <row r="70" spans="1:18" ht="24" customHeight="1">
      <c r="A70" s="151">
        <v>29</v>
      </c>
      <c r="B70" s="137"/>
      <c r="C70" s="137"/>
      <c r="D70" s="358"/>
      <c r="E70" s="359"/>
      <c r="F70" s="360"/>
      <c r="G70" s="180"/>
      <c r="H70" s="153" t="str">
        <f>IF(OR(D70="",D70=""),"",VLOOKUP(D70,'price and cost sheet'!C:F,2,0))</f>
        <v/>
      </c>
      <c r="I70" s="157" t="s">
        <v>503</v>
      </c>
      <c r="J70" s="158" t="str">
        <f t="shared" si="1"/>
        <v/>
      </c>
      <c r="K70" s="153" t="str">
        <f>IF(OR(D70="",D70=""),"",VLOOKUP(D70,'price and cost sheet'!C:F,4,0))</f>
        <v/>
      </c>
      <c r="R70" s="184" t="str">
        <f>IF(OR(D70="",D70=""),"",VLOOKUP(D70,'price and cost sheet'!$C:$F,3,0))</f>
        <v/>
      </c>
    </row>
    <row r="71" spans="1:18" ht="24" customHeight="1">
      <c r="A71" s="151">
        <v>30</v>
      </c>
      <c r="B71" s="137"/>
      <c r="C71" s="137"/>
      <c r="D71" s="358"/>
      <c r="E71" s="359"/>
      <c r="F71" s="360"/>
      <c r="G71" s="180"/>
      <c r="H71" s="153" t="str">
        <f>IF(OR(D71="",D71=""),"",VLOOKUP(D71,'price and cost sheet'!C:F,2,0))</f>
        <v/>
      </c>
      <c r="I71" s="157" t="s">
        <v>503</v>
      </c>
      <c r="J71" s="158" t="str">
        <f t="shared" si="1"/>
        <v/>
      </c>
      <c r="K71" s="153" t="str">
        <f>IF(OR(D71="",D71=""),"",VLOOKUP(D71,'price and cost sheet'!C:F,4,0))</f>
        <v/>
      </c>
      <c r="R71" s="184" t="str">
        <f>IF(OR(D71="",D71=""),"",VLOOKUP(D71,'price and cost sheet'!$C:$F,3,0))</f>
        <v/>
      </c>
    </row>
    <row r="72" spans="1:18" ht="24" customHeight="1">
      <c r="A72" s="151">
        <v>31</v>
      </c>
      <c r="B72" s="137"/>
      <c r="C72" s="137"/>
      <c r="D72" s="358"/>
      <c r="E72" s="359"/>
      <c r="F72" s="360"/>
      <c r="G72" s="180"/>
      <c r="H72" s="153" t="str">
        <f>IF(OR(D72="",D72=""),"",VLOOKUP(D72,'price and cost sheet'!C:F,2,0))</f>
        <v/>
      </c>
      <c r="I72" s="157" t="s">
        <v>503</v>
      </c>
      <c r="J72" s="158" t="str">
        <f t="shared" si="1"/>
        <v/>
      </c>
      <c r="K72" s="153" t="str">
        <f>IF(OR(D72="",D72=""),"",VLOOKUP(D72,'price and cost sheet'!C:F,4,0))</f>
        <v/>
      </c>
      <c r="R72" s="184" t="str">
        <f>IF(OR(D72="",D72=""),"",VLOOKUP(D72,'price and cost sheet'!$C:$F,3,0))</f>
        <v/>
      </c>
    </row>
    <row r="73" spans="1:18" ht="24" customHeight="1">
      <c r="A73" s="151">
        <v>32</v>
      </c>
      <c r="B73" s="137"/>
      <c r="C73" s="137"/>
      <c r="D73" s="358"/>
      <c r="E73" s="359"/>
      <c r="F73" s="360"/>
      <c r="G73" s="180"/>
      <c r="H73" s="153" t="str">
        <f>IF(OR(D73="",D73=""),"",VLOOKUP(D73,'price and cost sheet'!C:F,2,0))</f>
        <v/>
      </c>
      <c r="I73" s="157" t="s">
        <v>503</v>
      </c>
      <c r="J73" s="158" t="str">
        <f t="shared" si="1"/>
        <v/>
      </c>
      <c r="K73" s="153" t="str">
        <f>IF(OR(D73="",D73=""),"",VLOOKUP(D73,'price and cost sheet'!C:F,4,0))</f>
        <v/>
      </c>
      <c r="R73" s="184" t="str">
        <f>IF(OR(D73="",D73=""),"",VLOOKUP(D73,'price and cost sheet'!$C:$F,3,0))</f>
        <v/>
      </c>
    </row>
    <row r="74" spans="1:18" ht="24" customHeight="1">
      <c r="A74" s="151">
        <v>33</v>
      </c>
      <c r="B74" s="137"/>
      <c r="C74" s="137"/>
      <c r="D74" s="358"/>
      <c r="E74" s="359"/>
      <c r="F74" s="360"/>
      <c r="G74" s="180"/>
      <c r="H74" s="153" t="str">
        <f>IF(OR(D74="",D74=""),"",VLOOKUP(D74,'price and cost sheet'!C:F,2,0))</f>
        <v/>
      </c>
      <c r="I74" s="157" t="s">
        <v>503</v>
      </c>
      <c r="J74" s="158" t="str">
        <f t="shared" si="1"/>
        <v/>
      </c>
      <c r="K74" s="153" t="str">
        <f>IF(OR(D74="",D74=""),"",VLOOKUP(D74,'price and cost sheet'!C:F,4,0))</f>
        <v/>
      </c>
      <c r="R74" s="184" t="str">
        <f>IF(OR(D74="",D74=""),"",VLOOKUP(D74,'price and cost sheet'!$C:$F,3,0))</f>
        <v/>
      </c>
    </row>
    <row r="75" spans="1:18" ht="24" customHeight="1">
      <c r="A75" s="151">
        <v>34</v>
      </c>
      <c r="B75" s="137"/>
      <c r="C75" s="137"/>
      <c r="D75" s="358"/>
      <c r="E75" s="359"/>
      <c r="F75" s="360"/>
      <c r="G75" s="180"/>
      <c r="H75" s="153" t="str">
        <f>IF(OR(D75="",D75=""),"",VLOOKUP(D75,'price and cost sheet'!C:F,2,0))</f>
        <v/>
      </c>
      <c r="I75" s="157" t="s">
        <v>503</v>
      </c>
      <c r="J75" s="158" t="str">
        <f t="shared" si="1"/>
        <v/>
      </c>
      <c r="K75" s="153" t="str">
        <f>IF(OR(D75="",D75=""),"",VLOOKUP(D75,'price and cost sheet'!C:F,4,0))</f>
        <v/>
      </c>
      <c r="R75" s="184" t="str">
        <f>IF(OR(D75="",D75=""),"",VLOOKUP(D75,'price and cost sheet'!$C:$F,3,0))</f>
        <v/>
      </c>
    </row>
    <row r="76" spans="1:18" ht="24" customHeight="1">
      <c r="A76" s="151">
        <v>35</v>
      </c>
      <c r="B76" s="137"/>
      <c r="C76" s="137"/>
      <c r="D76" s="358"/>
      <c r="E76" s="359"/>
      <c r="F76" s="360"/>
      <c r="G76" s="180"/>
      <c r="H76" s="153" t="str">
        <f>IF(OR(D76="",D76=""),"",VLOOKUP(D76,'price and cost sheet'!C:F,2,0))</f>
        <v/>
      </c>
      <c r="I76" s="157" t="s">
        <v>503</v>
      </c>
      <c r="J76" s="158" t="str">
        <f t="shared" si="1"/>
        <v/>
      </c>
      <c r="K76" s="153" t="str">
        <f>IF(OR(D76="",D76=""),"",VLOOKUP(D76,'price and cost sheet'!C:F,4,0))</f>
        <v/>
      </c>
      <c r="R76" s="184" t="str">
        <f>IF(OR(D76="",D76=""),"",VLOOKUP(D76,'price and cost sheet'!$C:$F,3,0))</f>
        <v/>
      </c>
    </row>
    <row r="77" spans="1:18" ht="24" customHeight="1">
      <c r="A77" s="151">
        <v>36</v>
      </c>
      <c r="B77" s="137"/>
      <c r="C77" s="137"/>
      <c r="D77" s="358"/>
      <c r="E77" s="359"/>
      <c r="F77" s="360"/>
      <c r="G77" s="180"/>
      <c r="H77" s="153" t="str">
        <f>IF(OR(D77="",D77=""),"",VLOOKUP(D77,'price and cost sheet'!C:F,2,0))</f>
        <v/>
      </c>
      <c r="I77" s="157" t="s">
        <v>503</v>
      </c>
      <c r="J77" s="158" t="str">
        <f t="shared" si="1"/>
        <v/>
      </c>
      <c r="K77" s="153" t="str">
        <f>IF(OR(D77="",D77=""),"",VLOOKUP(D77,'price and cost sheet'!C:F,4,0))</f>
        <v/>
      </c>
      <c r="R77" s="184" t="str">
        <f>IF(OR(D77="",D77=""),"",VLOOKUP(D77,'price and cost sheet'!$C:$F,3,0))</f>
        <v/>
      </c>
    </row>
    <row r="78" spans="1:18" ht="24" customHeight="1">
      <c r="A78" s="151">
        <v>37</v>
      </c>
      <c r="B78" s="137"/>
      <c r="C78" s="137"/>
      <c r="D78" s="358"/>
      <c r="E78" s="359"/>
      <c r="F78" s="360"/>
      <c r="G78" s="180"/>
      <c r="H78" s="153" t="str">
        <f>IF(OR(D78="",D78=""),"",VLOOKUP(D78,'price and cost sheet'!C:F,2,0))</f>
        <v/>
      </c>
      <c r="I78" s="157" t="s">
        <v>503</v>
      </c>
      <c r="J78" s="158" t="str">
        <f t="shared" si="1"/>
        <v/>
      </c>
      <c r="K78" s="153" t="str">
        <f>IF(OR(D78="",D78=""),"",VLOOKUP(D78,'price and cost sheet'!C:F,4,0))</f>
        <v/>
      </c>
      <c r="R78" s="184" t="str">
        <f>IF(OR(D78="",D78=""),"",VLOOKUP(D78,'price and cost sheet'!$C:$F,3,0))</f>
        <v/>
      </c>
    </row>
    <row r="79" spans="1:18" ht="24" customHeight="1">
      <c r="A79" s="151">
        <v>38</v>
      </c>
      <c r="B79" s="137"/>
      <c r="C79" s="137"/>
      <c r="D79" s="358"/>
      <c r="E79" s="359"/>
      <c r="F79" s="360"/>
      <c r="G79" s="180"/>
      <c r="H79" s="153" t="str">
        <f>IF(OR(D79="",D79=""),"",VLOOKUP(D79,'price and cost sheet'!C:F,2,0))</f>
        <v/>
      </c>
      <c r="I79" s="157" t="s">
        <v>503</v>
      </c>
      <c r="J79" s="158" t="str">
        <f t="shared" si="1"/>
        <v/>
      </c>
      <c r="K79" s="153" t="str">
        <f>IF(OR(D79="",D79=""),"",VLOOKUP(D79,'price and cost sheet'!C:F,4,0))</f>
        <v/>
      </c>
      <c r="R79" s="184" t="str">
        <f>IF(OR(D79="",D79=""),"",VLOOKUP(D79,'price and cost sheet'!$C:$F,3,0))</f>
        <v/>
      </c>
    </row>
    <row r="80" spans="1:18" ht="24" customHeight="1">
      <c r="A80" s="151">
        <v>39</v>
      </c>
      <c r="B80" s="137"/>
      <c r="C80" s="137"/>
      <c r="D80" s="358"/>
      <c r="E80" s="359"/>
      <c r="F80" s="360"/>
      <c r="G80" s="180"/>
      <c r="H80" s="153" t="str">
        <f>IF(OR(D80="",D80=""),"",VLOOKUP(D80,'price and cost sheet'!C:F,2,0))</f>
        <v/>
      </c>
      <c r="I80" s="157" t="s">
        <v>503</v>
      </c>
      <c r="J80" s="158" t="str">
        <f t="shared" si="1"/>
        <v/>
      </c>
      <c r="K80" s="153" t="str">
        <f>IF(OR(D80="",D80=""),"",VLOOKUP(D80,'price and cost sheet'!C:F,4,0))</f>
        <v/>
      </c>
      <c r="R80" s="184" t="str">
        <f>IF(OR(D80="",D80=""),"",VLOOKUP(D80,'price and cost sheet'!$C:$F,3,0))</f>
        <v/>
      </c>
    </row>
    <row r="81" spans="1:20" ht="24" customHeight="1">
      <c r="A81" s="151">
        <v>40</v>
      </c>
      <c r="B81" s="137"/>
      <c r="C81" s="137"/>
      <c r="D81" s="358"/>
      <c r="E81" s="359"/>
      <c r="F81" s="360"/>
      <c r="G81" s="180"/>
      <c r="H81" s="153" t="str">
        <f>IF(OR(D81="",D81=""),"",VLOOKUP(D81,'price and cost sheet'!C:F,2,0))</f>
        <v/>
      </c>
      <c r="I81" s="157" t="s">
        <v>503</v>
      </c>
      <c r="J81" s="158" t="str">
        <f t="shared" si="1"/>
        <v/>
      </c>
      <c r="K81" s="153" t="str">
        <f>IF(OR(D81="",D81=""),"",VLOOKUP(D81,'price and cost sheet'!C:F,4,0))</f>
        <v/>
      </c>
      <c r="R81" s="184" t="str">
        <f>IF(OR(D81="",D81=""),"",VLOOKUP(D81,'price and cost sheet'!$C:$F,3,0))</f>
        <v/>
      </c>
    </row>
    <row r="82" spans="1:20" ht="24" customHeight="1">
      <c r="A82" s="167"/>
      <c r="B82" s="353" t="s">
        <v>504</v>
      </c>
      <c r="C82" s="354"/>
      <c r="D82" s="355"/>
      <c r="E82" s="356"/>
      <c r="F82" s="357"/>
      <c r="G82" s="169"/>
      <c r="H82" s="167"/>
      <c r="I82" s="167"/>
      <c r="J82" s="177">
        <f>SUM(J42:J81)*0.95</f>
        <v>0</v>
      </c>
      <c r="K82" s="153"/>
    </row>
    <row r="83" spans="1:20" ht="24" customHeight="1">
      <c r="A83" s="167"/>
      <c r="B83" s="353" t="s">
        <v>505</v>
      </c>
      <c r="C83" s="354"/>
      <c r="D83" s="355"/>
      <c r="E83" s="356"/>
      <c r="F83" s="357"/>
      <c r="G83" s="169"/>
      <c r="H83" s="167"/>
      <c r="I83" s="167"/>
      <c r="J83" s="177">
        <f>J35+J82</f>
        <v>0</v>
      </c>
      <c r="K83" s="153"/>
    </row>
    <row r="84" spans="1:20" ht="15.6">
      <c r="K84"/>
    </row>
    <row r="85" spans="1:20" ht="15.6">
      <c r="K85"/>
    </row>
    <row r="86" spans="1:20" ht="15.6">
      <c r="K86"/>
    </row>
    <row r="87" spans="1:20" ht="15.6">
      <c r="E87" s="170"/>
      <c r="F87" s="170"/>
      <c r="K87"/>
    </row>
    <row r="88" spans="1:20" ht="15.6">
      <c r="B88" s="170" t="s">
        <v>506</v>
      </c>
      <c r="C88" s="170" t="s">
        <v>507</v>
      </c>
      <c r="D88" s="170" t="s">
        <v>508</v>
      </c>
      <c r="E88" s="170" t="s">
        <v>509</v>
      </c>
      <c r="F88" s="170" t="s">
        <v>510</v>
      </c>
      <c r="G88" s="130" t="s">
        <v>511</v>
      </c>
      <c r="H88" s="130" t="s">
        <v>512</v>
      </c>
      <c r="I88" s="130" t="s">
        <v>513</v>
      </c>
      <c r="K88"/>
    </row>
    <row r="89" spans="1:20" ht="15.6">
      <c r="A89" s="170" t="s">
        <v>514</v>
      </c>
      <c r="B89" s="161">
        <f>$F$4</f>
        <v>0</v>
      </c>
      <c r="C89" s="161">
        <f>'Signatures that need to be read'!$D$6</f>
        <v>0</v>
      </c>
      <c r="D89" s="161">
        <f>$I$4</f>
        <v>0</v>
      </c>
      <c r="E89" s="171">
        <f>$B$7</f>
        <v>0</v>
      </c>
      <c r="F89" s="171">
        <f>$C$7</f>
        <v>0</v>
      </c>
      <c r="G89" s="130">
        <f>$J$83</f>
        <v>0</v>
      </c>
      <c r="H89" s="130">
        <f>$J$35</f>
        <v>0</v>
      </c>
      <c r="I89" s="130">
        <f>$J$82</f>
        <v>0</v>
      </c>
      <c r="K89"/>
    </row>
    <row r="90" spans="1:20" ht="15.6">
      <c r="A90" s="170"/>
      <c r="C90" s="161"/>
      <c r="E90" s="171"/>
      <c r="F90" s="171"/>
      <c r="K90"/>
    </row>
    <row r="91" spans="1:20" ht="64.95" customHeight="1">
      <c r="H91" s="167" t="s">
        <v>511</v>
      </c>
      <c r="I91" s="167" t="s">
        <v>512</v>
      </c>
      <c r="J91" s="167" t="s">
        <v>513</v>
      </c>
      <c r="K91" s="167" t="s">
        <v>515</v>
      </c>
      <c r="L91" s="167" t="s">
        <v>516</v>
      </c>
      <c r="M91" s="167" t="s">
        <v>517</v>
      </c>
      <c r="N91" s="167" t="s">
        <v>518</v>
      </c>
      <c r="O91" s="167" t="s">
        <v>519</v>
      </c>
      <c r="P91" s="167" t="s">
        <v>520</v>
      </c>
      <c r="Q91" s="167" t="s">
        <v>521</v>
      </c>
      <c r="R91" s="172" t="s">
        <v>522</v>
      </c>
      <c r="S91" s="167"/>
      <c r="T91" s="167"/>
    </row>
    <row r="92" spans="1:20"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</row>
    <row r="93" spans="1:20">
      <c r="A93" s="172" t="s">
        <v>514</v>
      </c>
      <c r="B93" s="167">
        <f>$F$4</f>
        <v>0</v>
      </c>
      <c r="C93" s="167">
        <f>'Signatures that need to be read'!$D$6</f>
        <v>0</v>
      </c>
      <c r="D93" s="167">
        <f>$I$4</f>
        <v>0</v>
      </c>
      <c r="E93" s="173"/>
      <c r="F93" s="167"/>
      <c r="G93" s="167"/>
      <c r="H93" s="167">
        <f t="shared" ref="H93:H102" si="2">I93+J93</f>
        <v>0</v>
      </c>
      <c r="I93" s="167">
        <f>J35</f>
        <v>0</v>
      </c>
      <c r="J93" s="167">
        <f>SUM(K93:Q93)</f>
        <v>0</v>
      </c>
      <c r="K93" s="167">
        <f t="shared" ref="K93:P93" si="3">IF(COUNTIFS($D$42:$F$81,K91)&lt;&gt;0,VLOOKUP(K91,$D$42:$K$81,7,0),0)</f>
        <v>0</v>
      </c>
      <c r="L93" s="167">
        <f t="shared" si="3"/>
        <v>0</v>
      </c>
      <c r="M93" s="167">
        <f t="shared" si="3"/>
        <v>0</v>
      </c>
      <c r="N93" s="167">
        <f t="shared" si="3"/>
        <v>0</v>
      </c>
      <c r="O93" s="167">
        <f t="shared" si="3"/>
        <v>0</v>
      </c>
      <c r="P93" s="167">
        <f t="shared" si="3"/>
        <v>0</v>
      </c>
      <c r="Q93" s="167">
        <f>SUM(J42:J81)-SUM(K93:P93)</f>
        <v>0</v>
      </c>
      <c r="R93" s="167">
        <f>SUM(J7:J34)+SUM(J42:J81)-SUM(K93:P93)</f>
        <v>0</v>
      </c>
      <c r="S93" s="167"/>
      <c r="T93" s="167"/>
    </row>
    <row r="94" spans="1:20">
      <c r="A94" s="170"/>
      <c r="E94" s="174"/>
    </row>
    <row r="95" spans="1:20" ht="19.95" customHeight="1">
      <c r="B95" s="170" t="s">
        <v>506</v>
      </c>
      <c r="C95" s="170" t="s">
        <v>507</v>
      </c>
      <c r="D95" s="170" t="s">
        <v>508</v>
      </c>
      <c r="E95" s="170" t="s">
        <v>523</v>
      </c>
      <c r="F95" s="170" t="s">
        <v>509</v>
      </c>
      <c r="G95" s="170" t="s">
        <v>510</v>
      </c>
      <c r="H95" s="130" t="s">
        <v>511</v>
      </c>
      <c r="I95" s="130" t="s">
        <v>512</v>
      </c>
      <c r="J95" s="130" t="s">
        <v>513</v>
      </c>
    </row>
    <row r="96" spans="1:20" ht="19.95" customHeight="1">
      <c r="A96" s="172" t="s">
        <v>514</v>
      </c>
      <c r="B96" s="169">
        <f t="shared" ref="B96:B102" si="4">$B$89</f>
        <v>0</v>
      </c>
      <c r="C96" s="169">
        <f t="shared" ref="C96:C102" si="5">$C$89</f>
        <v>0</v>
      </c>
      <c r="D96" s="169">
        <f t="shared" ref="D96:D102" si="6">$D$89</f>
        <v>0</v>
      </c>
      <c r="E96" s="167" t="s">
        <v>515</v>
      </c>
      <c r="F96" s="175">
        <f t="shared" ref="F96:F102" si="7">$E$89</f>
        <v>0</v>
      </c>
      <c r="G96" s="175">
        <f t="shared" ref="G96:G102" si="8">$F$89</f>
        <v>0</v>
      </c>
      <c r="H96" s="176">
        <f t="shared" si="2"/>
        <v>0</v>
      </c>
      <c r="I96" s="176">
        <v>0</v>
      </c>
      <c r="J96" s="176">
        <f>$K$93</f>
        <v>0</v>
      </c>
    </row>
    <row r="97" spans="1:10" ht="19.95" customHeight="1">
      <c r="A97" s="172" t="s">
        <v>514</v>
      </c>
      <c r="B97" s="169">
        <f t="shared" si="4"/>
        <v>0</v>
      </c>
      <c r="C97" s="169">
        <f t="shared" si="5"/>
        <v>0</v>
      </c>
      <c r="D97" s="169">
        <f t="shared" si="6"/>
        <v>0</v>
      </c>
      <c r="E97" s="167" t="s">
        <v>516</v>
      </c>
      <c r="F97" s="175">
        <f t="shared" si="7"/>
        <v>0</v>
      </c>
      <c r="G97" s="175">
        <f t="shared" si="8"/>
        <v>0</v>
      </c>
      <c r="H97" s="176">
        <f t="shared" si="2"/>
        <v>0</v>
      </c>
      <c r="I97" s="176">
        <v>0</v>
      </c>
      <c r="J97" s="176">
        <f>$L$93</f>
        <v>0</v>
      </c>
    </row>
    <row r="98" spans="1:10" ht="19.95" customHeight="1">
      <c r="A98" s="172" t="s">
        <v>514</v>
      </c>
      <c r="B98" s="169">
        <f t="shared" si="4"/>
        <v>0</v>
      </c>
      <c r="C98" s="169">
        <f t="shared" si="5"/>
        <v>0</v>
      </c>
      <c r="D98" s="169">
        <f t="shared" si="6"/>
        <v>0</v>
      </c>
      <c r="E98" s="167" t="s">
        <v>517</v>
      </c>
      <c r="F98" s="175">
        <f t="shared" si="7"/>
        <v>0</v>
      </c>
      <c r="G98" s="175">
        <f t="shared" si="8"/>
        <v>0</v>
      </c>
      <c r="H98" s="176">
        <f t="shared" si="2"/>
        <v>0</v>
      </c>
      <c r="I98" s="176">
        <v>0</v>
      </c>
      <c r="J98" s="176">
        <f>$M$93</f>
        <v>0</v>
      </c>
    </row>
    <row r="99" spans="1:10" ht="19.95" customHeight="1">
      <c r="A99" s="172" t="s">
        <v>514</v>
      </c>
      <c r="B99" s="169">
        <f t="shared" si="4"/>
        <v>0</v>
      </c>
      <c r="C99" s="169">
        <f t="shared" si="5"/>
        <v>0</v>
      </c>
      <c r="D99" s="169">
        <f t="shared" si="6"/>
        <v>0</v>
      </c>
      <c r="E99" s="167" t="s">
        <v>518</v>
      </c>
      <c r="F99" s="175">
        <f t="shared" si="7"/>
        <v>0</v>
      </c>
      <c r="G99" s="175">
        <f t="shared" si="8"/>
        <v>0</v>
      </c>
      <c r="H99" s="176">
        <f t="shared" si="2"/>
        <v>0</v>
      </c>
      <c r="I99" s="176">
        <v>0</v>
      </c>
      <c r="J99" s="176">
        <f>$N$93</f>
        <v>0</v>
      </c>
    </row>
    <row r="100" spans="1:10" ht="19.95" customHeight="1">
      <c r="A100" s="172" t="s">
        <v>514</v>
      </c>
      <c r="B100" s="169">
        <f t="shared" si="4"/>
        <v>0</v>
      </c>
      <c r="C100" s="169">
        <f t="shared" si="5"/>
        <v>0</v>
      </c>
      <c r="D100" s="169">
        <f t="shared" si="6"/>
        <v>0</v>
      </c>
      <c r="E100" s="167" t="s">
        <v>519</v>
      </c>
      <c r="F100" s="175">
        <f t="shared" si="7"/>
        <v>0</v>
      </c>
      <c r="G100" s="175">
        <f t="shared" si="8"/>
        <v>0</v>
      </c>
      <c r="H100" s="176">
        <f t="shared" si="2"/>
        <v>0</v>
      </c>
      <c r="I100" s="176">
        <v>0</v>
      </c>
      <c r="J100" s="176">
        <f>$O$93</f>
        <v>0</v>
      </c>
    </row>
    <row r="101" spans="1:10" ht="19.95" customHeight="1">
      <c r="A101" s="172" t="s">
        <v>514</v>
      </c>
      <c r="B101" s="169">
        <f t="shared" si="4"/>
        <v>0</v>
      </c>
      <c r="C101" s="169">
        <f t="shared" si="5"/>
        <v>0</v>
      </c>
      <c r="D101" s="169">
        <f t="shared" si="6"/>
        <v>0</v>
      </c>
      <c r="E101" s="167" t="s">
        <v>520</v>
      </c>
      <c r="F101" s="175">
        <f t="shared" si="7"/>
        <v>0</v>
      </c>
      <c r="G101" s="175">
        <f t="shared" si="8"/>
        <v>0</v>
      </c>
      <c r="H101" s="176">
        <f t="shared" si="2"/>
        <v>0</v>
      </c>
      <c r="I101" s="176">
        <v>0</v>
      </c>
      <c r="J101" s="176">
        <f>$P$93</f>
        <v>0</v>
      </c>
    </row>
    <row r="102" spans="1:10" ht="19.95" customHeight="1">
      <c r="A102" s="172" t="s">
        <v>514</v>
      </c>
      <c r="B102" s="169">
        <f t="shared" si="4"/>
        <v>0</v>
      </c>
      <c r="C102" s="169">
        <f t="shared" si="5"/>
        <v>0</v>
      </c>
      <c r="D102" s="169">
        <f t="shared" si="6"/>
        <v>0</v>
      </c>
      <c r="E102" s="172" t="s">
        <v>524</v>
      </c>
      <c r="F102" s="175">
        <f t="shared" si="7"/>
        <v>0</v>
      </c>
      <c r="G102" s="175">
        <f t="shared" si="8"/>
        <v>0</v>
      </c>
      <c r="H102" s="176">
        <f t="shared" si="2"/>
        <v>0</v>
      </c>
      <c r="I102" s="176">
        <f>I93</f>
        <v>0</v>
      </c>
      <c r="J102" s="176">
        <f>$Q$93</f>
        <v>0</v>
      </c>
    </row>
  </sheetData>
  <sheetProtection formatCells="0" formatColumns="0" formatRows="0"/>
  <mergeCells count="98">
    <mergeCell ref="A1:B1"/>
    <mergeCell ref="A2:J2"/>
    <mergeCell ref="A3:J3"/>
    <mergeCell ref="B4:C4"/>
    <mergeCell ref="D4:E4"/>
    <mergeCell ref="G4:H4"/>
    <mergeCell ref="I4:J4"/>
    <mergeCell ref="B5:C5"/>
    <mergeCell ref="G5:J5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2:F32"/>
    <mergeCell ref="D33:F33"/>
    <mergeCell ref="D34:F34"/>
    <mergeCell ref="B35:C35"/>
    <mergeCell ref="D35:F35"/>
    <mergeCell ref="A36:B36"/>
    <mergeCell ref="A37:J37"/>
    <mergeCell ref="A38:J38"/>
    <mergeCell ref="B39:C39"/>
    <mergeCell ref="D39:E39"/>
    <mergeCell ref="G39:H39"/>
    <mergeCell ref="I39:J39"/>
    <mergeCell ref="B40:C40"/>
    <mergeCell ref="G40:J40"/>
    <mergeCell ref="D42:F42"/>
    <mergeCell ref="D43:F43"/>
    <mergeCell ref="D44:F44"/>
    <mergeCell ref="D45:F45"/>
    <mergeCell ref="D46:F46"/>
    <mergeCell ref="D47:F47"/>
    <mergeCell ref="D48:F48"/>
    <mergeCell ref="D49:F49"/>
    <mergeCell ref="D50:F50"/>
    <mergeCell ref="D51:F51"/>
    <mergeCell ref="D59:F59"/>
    <mergeCell ref="D60:F60"/>
    <mergeCell ref="D61:F61"/>
    <mergeCell ref="D52:F52"/>
    <mergeCell ref="D53:F53"/>
    <mergeCell ref="D54:F54"/>
    <mergeCell ref="D55:F55"/>
    <mergeCell ref="D56:F56"/>
    <mergeCell ref="B83:C83"/>
    <mergeCell ref="D83:F83"/>
    <mergeCell ref="A5:A6"/>
    <mergeCell ref="A40:A41"/>
    <mergeCell ref="D77:F77"/>
    <mergeCell ref="D78:F78"/>
    <mergeCell ref="D79:F79"/>
    <mergeCell ref="D80:F80"/>
    <mergeCell ref="D81:F81"/>
    <mergeCell ref="D72:F72"/>
    <mergeCell ref="D73:F73"/>
    <mergeCell ref="D74:F74"/>
    <mergeCell ref="D75:F75"/>
    <mergeCell ref="D76:F76"/>
    <mergeCell ref="D67:F67"/>
    <mergeCell ref="D68:F68"/>
    <mergeCell ref="K5:K6"/>
    <mergeCell ref="K40:K41"/>
    <mergeCell ref="D5:F6"/>
    <mergeCell ref="D40:F41"/>
    <mergeCell ref="B82:C82"/>
    <mergeCell ref="D82:F82"/>
    <mergeCell ref="D69:F69"/>
    <mergeCell ref="D70:F70"/>
    <mergeCell ref="D71:F71"/>
    <mergeCell ref="D62:F62"/>
    <mergeCell ref="D63:F63"/>
    <mergeCell ref="D64:F64"/>
    <mergeCell ref="D65:F65"/>
    <mergeCell ref="D66:F66"/>
    <mergeCell ref="D57:F57"/>
    <mergeCell ref="D58:F58"/>
  </mergeCells>
  <dataValidations count="1">
    <dataValidation allowBlank="1" showInputMessage="1" showErrorMessage="1" sqref="D7:F16 D17:F26 D27:F34 D49:F61 D62:F81 D42:F45 D46:F48" xr:uid="{00000000-0002-0000-0400-000000000000}"/>
  </dataValidations>
  <printOptions horizontalCentered="1" verticalCentered="1"/>
  <pageMargins left="0.39" right="0.39" top="0.39" bottom="0.39" header="0.51" footer="0.51"/>
  <pageSetup paperSize="9" scale="63" orientation="portrait" r:id="rId1"/>
  <headerFooter alignWithMargins="0"/>
  <rowBreaks count="1" manualBreakCount="1">
    <brk id="35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3">
    <tabColor indexed="10"/>
  </sheetPr>
  <dimension ref="A1:T102"/>
  <sheetViews>
    <sheetView view="pageBreakPreview" topLeftCell="A71" zoomScaleNormal="115" workbookViewId="0">
      <selection activeCell="K33" sqref="K33"/>
    </sheetView>
  </sheetViews>
  <sheetFormatPr defaultColWidth="9" defaultRowHeight="11.4"/>
  <cols>
    <col min="1" max="1" width="4.5" style="130" customWidth="1"/>
    <col min="2" max="2" width="9.5" style="130" customWidth="1"/>
    <col min="3" max="3" width="10.69921875" style="130" customWidth="1"/>
    <col min="4" max="4" width="6.09765625" style="130" customWidth="1"/>
    <col min="5" max="5" width="8.5" style="130" customWidth="1"/>
    <col min="6" max="6" width="15.19921875" style="130"/>
    <col min="7" max="7" width="9.5" style="130"/>
    <col min="8" max="8" width="7.8984375" style="130" customWidth="1"/>
    <col min="9" max="9" width="12.09765625" style="130" customWidth="1"/>
    <col min="10" max="10" width="13" style="130" customWidth="1"/>
    <col min="11" max="11" width="14.59765625" style="130" customWidth="1"/>
    <col min="12" max="17" width="9" style="130"/>
    <col min="18" max="18" width="10.59765625" style="130" hidden="1" customWidth="1"/>
    <col min="19" max="16384" width="9" style="130"/>
  </cols>
  <sheetData>
    <row r="1" spans="1:18" ht="29.25" customHeight="1">
      <c r="A1" s="373"/>
      <c r="B1" s="374"/>
      <c r="K1"/>
    </row>
    <row r="2" spans="1:18" s="128" customFormat="1" ht="20.399999999999999">
      <c r="A2" s="375" t="s">
        <v>486</v>
      </c>
      <c r="B2" s="375"/>
      <c r="C2" s="375"/>
      <c r="D2" s="375"/>
      <c r="E2" s="375"/>
      <c r="F2" s="375"/>
      <c r="G2" s="375"/>
      <c r="H2" s="375"/>
      <c r="I2" s="375"/>
      <c r="J2" s="375"/>
      <c r="K2"/>
    </row>
    <row r="3" spans="1:18" s="128" customFormat="1" ht="22.8">
      <c r="A3" s="376" t="s">
        <v>487</v>
      </c>
      <c r="B3" s="377"/>
      <c r="C3" s="377"/>
      <c r="D3" s="377"/>
      <c r="E3" s="377"/>
      <c r="F3" s="377"/>
      <c r="G3" s="377"/>
      <c r="H3" s="377"/>
      <c r="I3" s="377"/>
      <c r="J3" s="377"/>
      <c r="K3"/>
    </row>
    <row r="4" spans="1:18" ht="30" customHeight="1">
      <c r="A4" s="149" t="s">
        <v>488</v>
      </c>
      <c r="B4" s="366"/>
      <c r="C4" s="367"/>
      <c r="D4" s="368" t="s">
        <v>489</v>
      </c>
      <c r="E4" s="369"/>
      <c r="F4" s="133"/>
      <c r="G4" s="368" t="s">
        <v>490</v>
      </c>
      <c r="H4" s="369"/>
      <c r="I4" s="366"/>
      <c r="J4" s="367"/>
      <c r="K4" s="164" t="s">
        <v>491</v>
      </c>
    </row>
    <row r="5" spans="1:18" s="129" customFormat="1" ht="18.75" customHeight="1">
      <c r="A5" s="364" t="s">
        <v>492</v>
      </c>
      <c r="B5" s="347" t="s">
        <v>493</v>
      </c>
      <c r="C5" s="349"/>
      <c r="D5" s="347" t="s">
        <v>494</v>
      </c>
      <c r="E5" s="348"/>
      <c r="F5" s="349"/>
      <c r="G5" s="370" t="s">
        <v>495</v>
      </c>
      <c r="H5" s="371"/>
      <c r="I5" s="371"/>
      <c r="J5" s="372"/>
      <c r="K5" s="345" t="s">
        <v>496</v>
      </c>
    </row>
    <row r="6" spans="1:18" s="129" customFormat="1" ht="22.5" customHeight="1">
      <c r="A6" s="365"/>
      <c r="B6" s="134" t="s">
        <v>497</v>
      </c>
      <c r="C6" s="134" t="s">
        <v>498</v>
      </c>
      <c r="D6" s="350"/>
      <c r="E6" s="351"/>
      <c r="F6" s="352"/>
      <c r="G6" s="135" t="s">
        <v>499</v>
      </c>
      <c r="H6" s="135" t="s">
        <v>500</v>
      </c>
      <c r="I6" s="135" t="s">
        <v>501</v>
      </c>
      <c r="J6" s="135" t="s">
        <v>502</v>
      </c>
      <c r="K6" s="346"/>
    </row>
    <row r="7" spans="1:18" ht="21.9" customHeight="1">
      <c r="A7" s="169">
        <v>1</v>
      </c>
      <c r="B7" s="137"/>
      <c r="C7" s="137"/>
      <c r="D7" s="358"/>
      <c r="E7" s="359"/>
      <c r="F7" s="360"/>
      <c r="G7" s="138"/>
      <c r="H7" s="139" t="str">
        <f>IF(OR(D7="",D7=""),"",VLOOKUP(D7,'price and cost sheet'!B:F,3,0))</f>
        <v/>
      </c>
      <c r="I7" s="157" t="s">
        <v>503</v>
      </c>
      <c r="J7" s="158" t="str">
        <f t="shared" ref="J7:J34" si="0">IF(OR(D7="",G7=""),"",G7*I7)</f>
        <v/>
      </c>
      <c r="K7" s="153" t="str">
        <f>IF(OR(D7="",D7=""),"",VLOOKUP(D7,'price and cost sheet'!B:F,5,0))</f>
        <v/>
      </c>
      <c r="R7" s="184" t="str">
        <f>IF(OR(D7="",D7=""),"",VLOOKUP(D7,'price and cost sheet'!$B:$F,4,0))</f>
        <v/>
      </c>
    </row>
    <row r="8" spans="1:18" ht="21.9" customHeight="1">
      <c r="A8" s="169">
        <v>2</v>
      </c>
      <c r="B8" s="137"/>
      <c r="C8" s="137"/>
      <c r="D8" s="358"/>
      <c r="E8" s="359"/>
      <c r="F8" s="360"/>
      <c r="G8" s="138"/>
      <c r="H8" s="139" t="str">
        <f>IF(OR(D8="",D8=""),"",VLOOKUP(D8,'price and cost sheet'!B:F,3,0))</f>
        <v/>
      </c>
      <c r="I8" s="157" t="s">
        <v>503</v>
      </c>
      <c r="J8" s="158" t="str">
        <f t="shared" si="0"/>
        <v/>
      </c>
      <c r="K8" s="153" t="str">
        <f>IF(OR(D8="",D8=""),"",VLOOKUP(D8,'price and cost sheet'!B:F,5,0))</f>
        <v/>
      </c>
      <c r="R8" s="184" t="str">
        <f>IF(OR(D8="",D8=""),"",VLOOKUP(D8,'price and cost sheet'!$B:$F,4,0))</f>
        <v/>
      </c>
    </row>
    <row r="9" spans="1:18" ht="21.9" customHeight="1">
      <c r="A9" s="169">
        <v>3</v>
      </c>
      <c r="B9" s="137"/>
      <c r="C9" s="145"/>
      <c r="D9" s="358"/>
      <c r="E9" s="359"/>
      <c r="F9" s="360"/>
      <c r="G9" s="138"/>
      <c r="H9" s="139" t="str">
        <f>IF(OR(D9="",D9=""),"",VLOOKUP(D9,'price and cost sheet'!B:F,3,0))</f>
        <v/>
      </c>
      <c r="I9" s="157" t="s">
        <v>503</v>
      </c>
      <c r="J9" s="158" t="str">
        <f t="shared" si="0"/>
        <v/>
      </c>
      <c r="K9" s="153" t="str">
        <f>IF(OR(D9="",D9=""),"",VLOOKUP(D9,'price and cost sheet'!B:F,5,0))</f>
        <v/>
      </c>
      <c r="R9" s="184" t="str">
        <f>IF(OR(D9="",D9=""),"",VLOOKUP(D9,'price and cost sheet'!$B:$F,4,0))</f>
        <v/>
      </c>
    </row>
    <row r="10" spans="1:18" ht="21.9" customHeight="1">
      <c r="A10" s="169">
        <v>4</v>
      </c>
      <c r="B10" s="137"/>
      <c r="C10" s="145"/>
      <c r="D10" s="358"/>
      <c r="E10" s="359"/>
      <c r="F10" s="360"/>
      <c r="G10" s="138"/>
      <c r="H10" s="139" t="str">
        <f>IF(OR(D10="",D10=""),"",VLOOKUP(D10,'price and cost sheet'!B:F,3,0))</f>
        <v/>
      </c>
      <c r="I10" s="157" t="s">
        <v>503</v>
      </c>
      <c r="J10" s="158" t="str">
        <f t="shared" si="0"/>
        <v/>
      </c>
      <c r="K10" s="153" t="str">
        <f>IF(OR(D10="",D10=""),"",VLOOKUP(D10,'price and cost sheet'!B:F,5,0))</f>
        <v/>
      </c>
      <c r="R10" s="184" t="str">
        <f>IF(OR(D10="",D10=""),"",VLOOKUP(D10,'price and cost sheet'!$B:$F,4,0))</f>
        <v/>
      </c>
    </row>
    <row r="11" spans="1:18" ht="21.9" customHeight="1">
      <c r="A11" s="169">
        <v>5</v>
      </c>
      <c r="B11" s="137"/>
      <c r="C11" s="145"/>
      <c r="D11" s="358"/>
      <c r="E11" s="359"/>
      <c r="F11" s="360"/>
      <c r="G11" s="138"/>
      <c r="H11" s="139" t="str">
        <f>IF(OR(D11="",D11=""),"",VLOOKUP(D11,'price and cost sheet'!B:F,3,0))</f>
        <v/>
      </c>
      <c r="I11" s="157" t="s">
        <v>503</v>
      </c>
      <c r="J11" s="158" t="str">
        <f t="shared" si="0"/>
        <v/>
      </c>
      <c r="K11" s="153" t="str">
        <f>IF(OR(D11="",D11=""),"",VLOOKUP(D11,'price and cost sheet'!B:F,5,0))</f>
        <v/>
      </c>
      <c r="N11" s="161"/>
      <c r="O11" s="161"/>
      <c r="R11" s="184" t="str">
        <f>IF(OR(D11="",D11=""),"",VLOOKUP(D11,'price and cost sheet'!$B:$F,4,0))</f>
        <v/>
      </c>
    </row>
    <row r="12" spans="1:18" ht="21.9" customHeight="1">
      <c r="A12" s="169">
        <v>6</v>
      </c>
      <c r="B12" s="140"/>
      <c r="C12" s="178"/>
      <c r="D12" s="358"/>
      <c r="E12" s="359"/>
      <c r="F12" s="360"/>
      <c r="G12" s="138"/>
      <c r="H12" s="139" t="str">
        <f>IF(OR(D12="",D12=""),"",VLOOKUP(D12,'price and cost sheet'!B:F,3,0))</f>
        <v/>
      </c>
      <c r="I12" s="157" t="s">
        <v>503</v>
      </c>
      <c r="J12" s="158" t="str">
        <f t="shared" si="0"/>
        <v/>
      </c>
      <c r="K12" s="153" t="str">
        <f>IF(OR(D12="",D12=""),"",VLOOKUP(D12,'price and cost sheet'!B:F,5,0))</f>
        <v/>
      </c>
      <c r="N12" s="183"/>
      <c r="O12" s="161"/>
      <c r="R12" s="184" t="str">
        <f>IF(OR(D12="",D12=""),"",VLOOKUP(D12,'price and cost sheet'!$B:$F,4,0))</f>
        <v/>
      </c>
    </row>
    <row r="13" spans="1:18" ht="21.9" customHeight="1">
      <c r="A13" s="169">
        <v>7</v>
      </c>
      <c r="B13" s="140"/>
      <c r="C13" s="178"/>
      <c r="D13" s="358"/>
      <c r="E13" s="359"/>
      <c r="F13" s="360"/>
      <c r="G13" s="138"/>
      <c r="H13" s="139" t="str">
        <f>IF(OR(D13="",D13=""),"",VLOOKUP(D13,'price and cost sheet'!B:F,3,0))</f>
        <v/>
      </c>
      <c r="I13" s="157" t="s">
        <v>503</v>
      </c>
      <c r="J13" s="158" t="str">
        <f t="shared" si="0"/>
        <v/>
      </c>
      <c r="K13" s="153" t="str">
        <f>IF(OR(D13="",D13=""),"",VLOOKUP(D13,'price and cost sheet'!B:F,5,0))</f>
        <v/>
      </c>
      <c r="N13" s="161"/>
      <c r="O13" s="161"/>
      <c r="R13" s="184" t="str">
        <f>IF(OR(D13="",D13=""),"",VLOOKUP(D13,'price and cost sheet'!$B:$F,4,0))</f>
        <v/>
      </c>
    </row>
    <row r="14" spans="1:18" ht="21.9" customHeight="1">
      <c r="A14" s="169">
        <v>8</v>
      </c>
      <c r="B14" s="137"/>
      <c r="C14" s="145"/>
      <c r="D14" s="358"/>
      <c r="E14" s="359"/>
      <c r="F14" s="360"/>
      <c r="G14" s="166"/>
      <c r="H14" s="139" t="str">
        <f>IF(OR(D14="",D14=""),"",VLOOKUP(D14,'price and cost sheet'!B:F,3,0))</f>
        <v/>
      </c>
      <c r="I14" s="157" t="s">
        <v>503</v>
      </c>
      <c r="J14" s="158" t="str">
        <f t="shared" si="0"/>
        <v/>
      </c>
      <c r="K14" s="153" t="str">
        <f>IF(OR(D14="",D14=""),"",VLOOKUP(D14,'price and cost sheet'!B:F,5,0))</f>
        <v/>
      </c>
      <c r="N14" s="161"/>
      <c r="O14" s="161"/>
      <c r="R14" s="184" t="str">
        <f>IF(OR(D14="",D14=""),"",VLOOKUP(D14,'price and cost sheet'!$B:$F,4,0))</f>
        <v/>
      </c>
    </row>
    <row r="15" spans="1:18" ht="21.9" customHeight="1">
      <c r="A15" s="169">
        <v>9</v>
      </c>
      <c r="B15" s="137"/>
      <c r="C15" s="145"/>
      <c r="D15" s="358"/>
      <c r="E15" s="359"/>
      <c r="F15" s="360"/>
      <c r="G15" s="166"/>
      <c r="H15" s="139" t="str">
        <f>IF(OR(D15="",D15=""),"",VLOOKUP(D15,'price and cost sheet'!B:F,3,0))</f>
        <v/>
      </c>
      <c r="I15" s="157" t="s">
        <v>503</v>
      </c>
      <c r="J15" s="158" t="str">
        <f t="shared" si="0"/>
        <v/>
      </c>
      <c r="K15" s="153" t="str">
        <f>IF(OR(D15="",D15=""),"",VLOOKUP(D15,'price and cost sheet'!B:F,5,0))</f>
        <v/>
      </c>
      <c r="R15" s="184" t="str">
        <f>IF(OR(D15="",D15=""),"",VLOOKUP(D15,'price and cost sheet'!$B:$F,4,0))</f>
        <v/>
      </c>
    </row>
    <row r="16" spans="1:18" ht="21.9" customHeight="1">
      <c r="A16" s="169">
        <v>10</v>
      </c>
      <c r="B16" s="137"/>
      <c r="C16" s="145"/>
      <c r="D16" s="358"/>
      <c r="E16" s="359"/>
      <c r="F16" s="360"/>
      <c r="G16" s="138"/>
      <c r="H16" s="139" t="str">
        <f>IF(OR(D16="",D16=""),"",VLOOKUP(D16,'price and cost sheet'!B:F,3,0))</f>
        <v/>
      </c>
      <c r="I16" s="157" t="s">
        <v>503</v>
      </c>
      <c r="J16" s="158" t="str">
        <f t="shared" si="0"/>
        <v/>
      </c>
      <c r="K16" s="153" t="str">
        <f>IF(OR(D16="",D16=""),"",VLOOKUP(D16,'price and cost sheet'!B:F,5,0))</f>
        <v/>
      </c>
      <c r="R16" s="184" t="str">
        <f>IF(OR(D16="",D16=""),"",VLOOKUP(D16,'price and cost sheet'!$B:$F,4,0))</f>
        <v/>
      </c>
    </row>
    <row r="17" spans="1:18" ht="21.9" customHeight="1">
      <c r="A17" s="169">
        <v>11</v>
      </c>
      <c r="B17" s="141"/>
      <c r="C17" s="142"/>
      <c r="D17" s="358"/>
      <c r="E17" s="359"/>
      <c r="F17" s="360"/>
      <c r="G17" s="138"/>
      <c r="H17" s="139" t="str">
        <f>IF(OR(D17="",D17=""),"",VLOOKUP(D17,'price and cost sheet'!B:F,3,0))</f>
        <v/>
      </c>
      <c r="I17" s="157" t="s">
        <v>503</v>
      </c>
      <c r="J17" s="158" t="str">
        <f t="shared" si="0"/>
        <v/>
      </c>
      <c r="K17" s="153" t="str">
        <f>IF(OR(D17="",D17=""),"",VLOOKUP(D17,'price and cost sheet'!B:F,5,0))</f>
        <v/>
      </c>
      <c r="R17" s="184" t="str">
        <f>IF(OR(D17="",D17=""),"",VLOOKUP(D17,'price and cost sheet'!$B:$F,4,0))</f>
        <v/>
      </c>
    </row>
    <row r="18" spans="1:18" ht="21.9" customHeight="1">
      <c r="A18" s="169">
        <v>12</v>
      </c>
      <c r="B18" s="141"/>
      <c r="C18" s="142"/>
      <c r="D18" s="358"/>
      <c r="E18" s="359"/>
      <c r="F18" s="360"/>
      <c r="G18" s="138"/>
      <c r="H18" s="139" t="str">
        <f>IF(OR(D18="",D18=""),"",VLOOKUP(D18,'price and cost sheet'!B:F,3,0))</f>
        <v/>
      </c>
      <c r="I18" s="157" t="s">
        <v>503</v>
      </c>
      <c r="J18" s="158" t="str">
        <f t="shared" si="0"/>
        <v/>
      </c>
      <c r="K18" s="153" t="str">
        <f>IF(OR(D18="",D18=""),"",VLOOKUP(D18,'price and cost sheet'!B:F,5,0))</f>
        <v/>
      </c>
      <c r="R18" s="184" t="str">
        <f>IF(OR(D18="",D18=""),"",VLOOKUP(D18,'price and cost sheet'!$B:$F,4,0))</f>
        <v/>
      </c>
    </row>
    <row r="19" spans="1:18" ht="21.9" customHeight="1">
      <c r="A19" s="169">
        <v>13</v>
      </c>
      <c r="B19" s="141"/>
      <c r="C19" s="142"/>
      <c r="D19" s="358"/>
      <c r="E19" s="359"/>
      <c r="F19" s="360"/>
      <c r="G19" s="138"/>
      <c r="H19" s="139" t="str">
        <f>IF(OR(D19="",D19=""),"",VLOOKUP(D19,'price and cost sheet'!B:F,3,0))</f>
        <v/>
      </c>
      <c r="I19" s="157" t="s">
        <v>503</v>
      </c>
      <c r="J19" s="158" t="str">
        <f t="shared" si="0"/>
        <v/>
      </c>
      <c r="K19" s="153" t="str">
        <f>IF(OR(D19="",D19=""),"",VLOOKUP(D19,'price and cost sheet'!B:F,5,0))</f>
        <v/>
      </c>
      <c r="R19" s="184" t="str">
        <f>IF(OR(D19="",D19=""),"",VLOOKUP(D19,'price and cost sheet'!$B:$F,4,0))</f>
        <v/>
      </c>
    </row>
    <row r="20" spans="1:18" ht="21.9" customHeight="1">
      <c r="A20" s="169">
        <v>14</v>
      </c>
      <c r="B20" s="141"/>
      <c r="C20" s="142"/>
      <c r="D20" s="358"/>
      <c r="E20" s="359"/>
      <c r="F20" s="360"/>
      <c r="G20" s="138"/>
      <c r="H20" s="139" t="str">
        <f>IF(OR(D20="",D20=""),"",VLOOKUP(D20,'price and cost sheet'!B:F,3,0))</f>
        <v/>
      </c>
      <c r="I20" s="157" t="s">
        <v>503</v>
      </c>
      <c r="J20" s="158" t="str">
        <f t="shared" si="0"/>
        <v/>
      </c>
      <c r="K20" s="153" t="str">
        <f>IF(OR(D20="",D20=""),"",VLOOKUP(D20,'price and cost sheet'!B:F,5,0))</f>
        <v/>
      </c>
      <c r="R20" s="184" t="str">
        <f>IF(OR(D20="",D20=""),"",VLOOKUP(D20,'price and cost sheet'!$B:$F,4,0))</f>
        <v/>
      </c>
    </row>
    <row r="21" spans="1:18" ht="21.9" customHeight="1">
      <c r="A21" s="169">
        <v>15</v>
      </c>
      <c r="B21" s="179"/>
      <c r="C21" s="142"/>
      <c r="D21" s="358"/>
      <c r="E21" s="359"/>
      <c r="F21" s="360"/>
      <c r="G21" s="138"/>
      <c r="H21" s="139" t="str">
        <f>IF(OR(D21="",D21=""),"",VLOOKUP(D21,'price and cost sheet'!B:F,3,0))</f>
        <v/>
      </c>
      <c r="I21" s="157" t="s">
        <v>503</v>
      </c>
      <c r="J21" s="158" t="str">
        <f t="shared" si="0"/>
        <v/>
      </c>
      <c r="K21" s="153" t="str">
        <f>IF(OR(D21="",D21=""),"",VLOOKUP(D21,'price and cost sheet'!B:F,5,0))</f>
        <v/>
      </c>
      <c r="R21" s="184" t="str">
        <f>IF(OR(D21="",D21=""),"",VLOOKUP(D21,'price and cost sheet'!$B:$F,4,0))</f>
        <v/>
      </c>
    </row>
    <row r="22" spans="1:18" ht="21.9" customHeight="1">
      <c r="A22" s="169">
        <v>16</v>
      </c>
      <c r="B22" s="179"/>
      <c r="C22" s="142"/>
      <c r="D22" s="358"/>
      <c r="E22" s="359"/>
      <c r="F22" s="360"/>
      <c r="G22" s="138"/>
      <c r="H22" s="139" t="str">
        <f>IF(OR(D22="",D22=""),"",VLOOKUP(D22,'price and cost sheet'!B:F,3,0))</f>
        <v/>
      </c>
      <c r="I22" s="157" t="s">
        <v>503</v>
      </c>
      <c r="J22" s="158" t="str">
        <f t="shared" si="0"/>
        <v/>
      </c>
      <c r="K22" s="153" t="str">
        <f>IF(OR(D22="",D22=""),"",VLOOKUP(D22,'price and cost sheet'!B:F,5,0))</f>
        <v/>
      </c>
      <c r="R22" s="184" t="str">
        <f>IF(OR(D22="",D22=""),"",VLOOKUP(D22,'price and cost sheet'!$B:$F,4,0))</f>
        <v/>
      </c>
    </row>
    <row r="23" spans="1:18" ht="21.9" customHeight="1">
      <c r="A23" s="169">
        <v>17</v>
      </c>
      <c r="B23" s="141"/>
      <c r="C23" s="142"/>
      <c r="D23" s="358"/>
      <c r="E23" s="359"/>
      <c r="F23" s="360"/>
      <c r="G23" s="180"/>
      <c r="H23" s="139" t="str">
        <f>IF(OR(D23="",D23=""),"",VLOOKUP(D23,'price and cost sheet'!B:F,3,0))</f>
        <v/>
      </c>
      <c r="I23" s="157" t="s">
        <v>503</v>
      </c>
      <c r="J23" s="158" t="str">
        <f t="shared" si="0"/>
        <v/>
      </c>
      <c r="K23" s="153" t="str">
        <f>IF(OR(D23="",D23=""),"",VLOOKUP(D23,'price and cost sheet'!B:F,5,0))</f>
        <v/>
      </c>
      <c r="R23" s="184" t="str">
        <f>IF(OR(D23="",D23=""),"",VLOOKUP(D23,'price and cost sheet'!$B:$F,4,0))</f>
        <v/>
      </c>
    </row>
    <row r="24" spans="1:18" ht="21.9" customHeight="1">
      <c r="A24" s="169">
        <v>18</v>
      </c>
      <c r="B24" s="141"/>
      <c r="C24" s="142"/>
      <c r="D24" s="358"/>
      <c r="E24" s="359"/>
      <c r="F24" s="360"/>
      <c r="G24" s="180"/>
      <c r="H24" s="139" t="str">
        <f>IF(OR(D24="",D24=""),"",VLOOKUP(D24,'price and cost sheet'!B:F,3,0))</f>
        <v/>
      </c>
      <c r="I24" s="157" t="s">
        <v>503</v>
      </c>
      <c r="J24" s="158" t="str">
        <f t="shared" si="0"/>
        <v/>
      </c>
      <c r="K24" s="153" t="str">
        <f>IF(OR(D24="",D24=""),"",VLOOKUP(D24,'price and cost sheet'!B:F,5,0))</f>
        <v/>
      </c>
      <c r="R24" s="184" t="str">
        <f>IF(OR(D24="",D24=""),"",VLOOKUP(D24,'price and cost sheet'!$B:$F,4,0))</f>
        <v/>
      </c>
    </row>
    <row r="25" spans="1:18" ht="21.9" customHeight="1">
      <c r="A25" s="169">
        <v>19</v>
      </c>
      <c r="B25" s="141"/>
      <c r="C25" s="142"/>
      <c r="D25" s="358"/>
      <c r="E25" s="359"/>
      <c r="F25" s="360"/>
      <c r="G25" s="180"/>
      <c r="H25" s="139" t="str">
        <f>IF(OR(D25="",D25=""),"",VLOOKUP(D25,'price and cost sheet'!B:F,3,0))</f>
        <v/>
      </c>
      <c r="I25" s="157" t="s">
        <v>503</v>
      </c>
      <c r="J25" s="158" t="str">
        <f t="shared" si="0"/>
        <v/>
      </c>
      <c r="K25" s="153" t="str">
        <f>IF(OR(D25="",D25=""),"",VLOOKUP(D25,'price and cost sheet'!B:F,5,0))</f>
        <v/>
      </c>
      <c r="R25" s="184" t="str">
        <f>IF(OR(D25="",D25=""),"",VLOOKUP(D25,'price and cost sheet'!$B:$F,4,0))</f>
        <v/>
      </c>
    </row>
    <row r="26" spans="1:18" ht="21.9" customHeight="1">
      <c r="A26" s="169">
        <v>20</v>
      </c>
      <c r="B26" s="141"/>
      <c r="C26" s="142"/>
      <c r="D26" s="358"/>
      <c r="E26" s="359"/>
      <c r="F26" s="360"/>
      <c r="G26" s="180"/>
      <c r="H26" s="139" t="str">
        <f>IF(OR(D26="",D26=""),"",VLOOKUP(D26,'price and cost sheet'!B:F,3,0))</f>
        <v/>
      </c>
      <c r="I26" s="157" t="s">
        <v>503</v>
      </c>
      <c r="J26" s="158" t="str">
        <f t="shared" si="0"/>
        <v/>
      </c>
      <c r="K26" s="153" t="str">
        <f>IF(OR(D26="",D26=""),"",VLOOKUP(D26,'price and cost sheet'!B:F,5,0))</f>
        <v/>
      </c>
      <c r="R26" s="184" t="str">
        <f>IF(OR(D26="",D26=""),"",VLOOKUP(D26,'price and cost sheet'!$B:$F,4,0))</f>
        <v/>
      </c>
    </row>
    <row r="27" spans="1:18" ht="21.9" customHeight="1">
      <c r="A27" s="169">
        <v>21</v>
      </c>
      <c r="B27" s="137"/>
      <c r="C27" s="145"/>
      <c r="D27" s="378"/>
      <c r="E27" s="379"/>
      <c r="F27" s="380"/>
      <c r="G27" s="181"/>
      <c r="H27" s="139" t="str">
        <f>IF(OR(D27="",D27=""),"",VLOOKUP(D27,'price and cost sheet'!B:F,3,0))</f>
        <v/>
      </c>
      <c r="I27" s="157" t="s">
        <v>503</v>
      </c>
      <c r="J27" s="158" t="str">
        <f t="shared" si="0"/>
        <v/>
      </c>
      <c r="K27" s="153" t="str">
        <f>IF(OR(D27="",D27=""),"",VLOOKUP(D27,'price and cost sheet'!B:F,5,0))</f>
        <v/>
      </c>
      <c r="R27" s="184" t="str">
        <f>IF(OR(D27="",D27=""),"",VLOOKUP(D27,'price and cost sheet'!$B:$F,4,0))</f>
        <v/>
      </c>
    </row>
    <row r="28" spans="1:18" ht="21.9" customHeight="1">
      <c r="A28" s="169">
        <v>22</v>
      </c>
      <c r="B28" s="137"/>
      <c r="C28" s="145"/>
      <c r="D28" s="378"/>
      <c r="E28" s="379"/>
      <c r="F28" s="380"/>
      <c r="G28" s="181"/>
      <c r="H28" s="139" t="str">
        <f>IF(OR(D28="",D28=""),"",VLOOKUP(D28,'price and cost sheet'!B:F,3,0))</f>
        <v/>
      </c>
      <c r="I28" s="157" t="s">
        <v>503</v>
      </c>
      <c r="J28" s="158" t="str">
        <f t="shared" si="0"/>
        <v/>
      </c>
      <c r="K28" s="153" t="str">
        <f>IF(OR(D28="",D28=""),"",VLOOKUP(D28,'price and cost sheet'!B:F,5,0))</f>
        <v/>
      </c>
      <c r="R28" s="184" t="str">
        <f>IF(OR(D28="",D28=""),"",VLOOKUP(D28,'price and cost sheet'!$B:$F,4,0))</f>
        <v/>
      </c>
    </row>
    <row r="29" spans="1:18" ht="21.9" customHeight="1">
      <c r="A29" s="169">
        <v>23</v>
      </c>
      <c r="B29" s="137"/>
      <c r="C29" s="145"/>
      <c r="D29" s="378"/>
      <c r="E29" s="379"/>
      <c r="F29" s="380"/>
      <c r="G29" s="181"/>
      <c r="H29" s="139" t="str">
        <f>IF(OR(D29="",D29=""),"",VLOOKUP(D29,'price and cost sheet'!B:F,3,0))</f>
        <v/>
      </c>
      <c r="I29" s="157" t="s">
        <v>503</v>
      </c>
      <c r="J29" s="158" t="str">
        <f t="shared" si="0"/>
        <v/>
      </c>
      <c r="K29" s="153" t="str">
        <f>IF(OR(D29="",D29=""),"",VLOOKUP(D29,'price and cost sheet'!B:F,5,0))</f>
        <v/>
      </c>
      <c r="R29" s="184" t="str">
        <f>IF(OR(D29="",D29=""),"",VLOOKUP(D29,'price and cost sheet'!$B:$F,4,0))</f>
        <v/>
      </c>
    </row>
    <row r="30" spans="1:18" ht="21.9" customHeight="1">
      <c r="A30" s="169">
        <v>24</v>
      </c>
      <c r="B30" s="137"/>
      <c r="C30" s="145"/>
      <c r="D30" s="378"/>
      <c r="E30" s="379"/>
      <c r="F30" s="380"/>
      <c r="G30" s="181"/>
      <c r="H30" s="139" t="str">
        <f>IF(OR(D30="",D30=""),"",VLOOKUP(D30,'price and cost sheet'!B:F,3,0))</f>
        <v/>
      </c>
      <c r="I30" s="157" t="s">
        <v>503</v>
      </c>
      <c r="J30" s="158" t="str">
        <f t="shared" si="0"/>
        <v/>
      </c>
      <c r="K30" s="153" t="str">
        <f>IF(OR(D30="",D30=""),"",VLOOKUP(D30,'price and cost sheet'!B:F,5,0))</f>
        <v/>
      </c>
      <c r="R30" s="184" t="str">
        <f>IF(OR(D30="",D30=""),"",VLOOKUP(D30,'price and cost sheet'!$B:$F,4,0))</f>
        <v/>
      </c>
    </row>
    <row r="31" spans="1:18" ht="21.9" customHeight="1">
      <c r="A31" s="169">
        <v>25</v>
      </c>
      <c r="B31" s="137"/>
      <c r="C31" s="145"/>
      <c r="D31" s="378"/>
      <c r="E31" s="379"/>
      <c r="F31" s="380"/>
      <c r="G31" s="181"/>
      <c r="H31" s="139" t="str">
        <f>IF(OR(D31="",D31=""),"",VLOOKUP(D31,'price and cost sheet'!B:F,3,0))</f>
        <v/>
      </c>
      <c r="I31" s="157" t="s">
        <v>503</v>
      </c>
      <c r="J31" s="158" t="str">
        <f t="shared" si="0"/>
        <v/>
      </c>
      <c r="K31" s="153" t="str">
        <f>IF(OR(D31="",D31=""),"",VLOOKUP(D31,'price and cost sheet'!B:F,5,0))</f>
        <v/>
      </c>
      <c r="R31" s="184" t="str">
        <f>IF(OR(D31="",D31=""),"",VLOOKUP(D31,'price and cost sheet'!$B:$F,4,0))</f>
        <v/>
      </c>
    </row>
    <row r="32" spans="1:18" ht="21.9" customHeight="1">
      <c r="A32" s="169">
        <v>26</v>
      </c>
      <c r="B32" s="182"/>
      <c r="C32" s="145"/>
      <c r="D32" s="378"/>
      <c r="E32" s="379"/>
      <c r="F32" s="380"/>
      <c r="G32" s="181"/>
      <c r="H32" s="139" t="str">
        <f>IF(OR(D32="",D32=""),"",VLOOKUP(D32,'price and cost sheet'!B:F,3,0))</f>
        <v/>
      </c>
      <c r="I32" s="157" t="s">
        <v>503</v>
      </c>
      <c r="J32" s="158" t="str">
        <f t="shared" si="0"/>
        <v/>
      </c>
      <c r="K32" s="153" t="str">
        <f>IF(OR(D32="",D32=""),"",VLOOKUP(D32,'price and cost sheet'!B:F,5,0))</f>
        <v/>
      </c>
      <c r="R32" s="184" t="str">
        <f>IF(OR(D32="",D32=""),"",VLOOKUP(D32,'price and cost sheet'!$B:$F,4,0))</f>
        <v/>
      </c>
    </row>
    <row r="33" spans="1:18" ht="21.9" customHeight="1">
      <c r="A33" s="169">
        <v>27</v>
      </c>
      <c r="B33" s="182"/>
      <c r="C33" s="145"/>
      <c r="D33" s="378"/>
      <c r="E33" s="379"/>
      <c r="F33" s="380"/>
      <c r="G33" s="181"/>
      <c r="H33" s="139" t="str">
        <f>IF(OR(D33="",D33=""),"",VLOOKUP(D33,'price and cost sheet'!B:F,3,0))</f>
        <v/>
      </c>
      <c r="I33" s="157" t="s">
        <v>503</v>
      </c>
      <c r="J33" s="158" t="str">
        <f t="shared" si="0"/>
        <v/>
      </c>
      <c r="K33" s="153" t="str">
        <f>IF(OR(D33="",D33=""),"",VLOOKUP(D33,'price and cost sheet'!B:F,5,0))</f>
        <v/>
      </c>
      <c r="R33" s="184" t="str">
        <f>IF(OR(D33="",D33=""),"",VLOOKUP(D33,'price and cost sheet'!$B:$F,4,0))</f>
        <v/>
      </c>
    </row>
    <row r="34" spans="1:18" ht="21.9" customHeight="1">
      <c r="A34" s="169">
        <v>28</v>
      </c>
      <c r="B34" s="182"/>
      <c r="C34" s="145"/>
      <c r="D34" s="378"/>
      <c r="E34" s="379"/>
      <c r="F34" s="380"/>
      <c r="G34" s="181"/>
      <c r="H34" s="139" t="str">
        <f>IF(OR(D34="",D34=""),"",VLOOKUP(D34,'price and cost sheet'!B:F,3,0))</f>
        <v/>
      </c>
      <c r="I34" s="157" t="s">
        <v>503</v>
      </c>
      <c r="J34" s="158" t="str">
        <f t="shared" si="0"/>
        <v/>
      </c>
      <c r="K34" s="153" t="str">
        <f>IF(OR(D34="",D34=""),"",VLOOKUP(D34,'price and cost sheet'!B:F,5,0))</f>
        <v/>
      </c>
      <c r="R34" s="184" t="str">
        <f>IF(OR(D34="",D34=""),"",VLOOKUP(D34,'price and cost sheet'!$B:$F,4,0))</f>
        <v/>
      </c>
    </row>
    <row r="35" spans="1:18" ht="24" customHeight="1">
      <c r="A35" s="167"/>
      <c r="B35" s="353" t="s">
        <v>504</v>
      </c>
      <c r="C35" s="354"/>
      <c r="D35" s="355"/>
      <c r="E35" s="356"/>
      <c r="F35" s="357"/>
      <c r="G35" s="169"/>
      <c r="H35" s="167"/>
      <c r="I35" s="167"/>
      <c r="J35" s="177">
        <f>SUM(J7:J34)*0.95</f>
        <v>0</v>
      </c>
      <c r="K35" s="153"/>
    </row>
    <row r="36" spans="1:18" ht="29.25" customHeight="1">
      <c r="A36" s="373"/>
      <c r="B36" s="374"/>
      <c r="K36"/>
    </row>
    <row r="37" spans="1:18" s="128" customFormat="1" ht="20.399999999999999">
      <c r="A37" s="375" t="s">
        <v>486</v>
      </c>
      <c r="B37" s="375"/>
      <c r="C37" s="375"/>
      <c r="D37" s="375"/>
      <c r="E37" s="375"/>
      <c r="F37" s="375"/>
      <c r="G37" s="375"/>
      <c r="H37" s="375"/>
      <c r="I37" s="375"/>
      <c r="J37" s="375"/>
      <c r="K37"/>
    </row>
    <row r="38" spans="1:18" s="128" customFormat="1" ht="22.8">
      <c r="A38" s="376" t="s">
        <v>487</v>
      </c>
      <c r="B38" s="377"/>
      <c r="C38" s="377"/>
      <c r="D38" s="377"/>
      <c r="E38" s="377"/>
      <c r="F38" s="377"/>
      <c r="G38" s="377"/>
      <c r="H38" s="377"/>
      <c r="I38" s="377"/>
      <c r="J38" s="377"/>
      <c r="K38"/>
    </row>
    <row r="39" spans="1:18" ht="30" customHeight="1">
      <c r="A39" s="149" t="s">
        <v>488</v>
      </c>
      <c r="B39" s="366"/>
      <c r="C39" s="367"/>
      <c r="D39" s="368" t="s">
        <v>489</v>
      </c>
      <c r="E39" s="369"/>
      <c r="F39" s="133"/>
      <c r="G39" s="368" t="s">
        <v>490</v>
      </c>
      <c r="H39" s="369"/>
      <c r="I39" s="366"/>
      <c r="J39" s="367"/>
      <c r="K39" s="164" t="s">
        <v>491</v>
      </c>
    </row>
    <row r="40" spans="1:18" ht="24" customHeight="1">
      <c r="A40" s="364" t="s">
        <v>492</v>
      </c>
      <c r="B40" s="347" t="s">
        <v>493</v>
      </c>
      <c r="C40" s="349"/>
      <c r="D40" s="347" t="s">
        <v>494</v>
      </c>
      <c r="E40" s="348"/>
      <c r="F40" s="349"/>
      <c r="G40" s="370" t="s">
        <v>495</v>
      </c>
      <c r="H40" s="371"/>
      <c r="I40" s="371"/>
      <c r="J40" s="372"/>
      <c r="K40" s="345" t="s">
        <v>496</v>
      </c>
    </row>
    <row r="41" spans="1:18" ht="24" customHeight="1">
      <c r="A41" s="365"/>
      <c r="B41" s="134" t="s">
        <v>497</v>
      </c>
      <c r="C41" s="134" t="s">
        <v>498</v>
      </c>
      <c r="D41" s="350"/>
      <c r="E41" s="351"/>
      <c r="F41" s="352"/>
      <c r="G41" s="135" t="s">
        <v>499</v>
      </c>
      <c r="H41" s="135" t="s">
        <v>500</v>
      </c>
      <c r="I41" s="135" t="s">
        <v>501</v>
      </c>
      <c r="J41" s="135" t="s">
        <v>502</v>
      </c>
      <c r="K41" s="346"/>
    </row>
    <row r="42" spans="1:18" ht="24" customHeight="1">
      <c r="A42" s="151">
        <v>1</v>
      </c>
      <c r="B42" s="137"/>
      <c r="C42" s="137"/>
      <c r="D42" s="361"/>
      <c r="E42" s="362"/>
      <c r="F42" s="363"/>
      <c r="G42" s="152"/>
      <c r="H42" s="153" t="str">
        <f>IF(OR(D42="",D42=""),"",VLOOKUP(D42,'price and cost sheet'!C:F,2,0))</f>
        <v/>
      </c>
      <c r="I42" s="157" t="s">
        <v>503</v>
      </c>
      <c r="J42" s="158" t="str">
        <f t="shared" ref="J42:J81" si="1">IF(OR(D42="",G42=""),"",G42*I42)</f>
        <v/>
      </c>
      <c r="K42" s="153" t="str">
        <f>IF(OR(D42="",D42=""),"",VLOOKUP(D42,'price and cost sheet'!C:F,4,0))</f>
        <v/>
      </c>
      <c r="N42" s="165"/>
      <c r="R42" s="184" t="str">
        <f>IF(OR(D42="",D42=""),"",VLOOKUP(D42,'price and cost sheet'!$C:$F,3,0))</f>
        <v/>
      </c>
    </row>
    <row r="43" spans="1:18" ht="24" customHeight="1">
      <c r="A43" s="151">
        <v>2</v>
      </c>
      <c r="B43" s="137"/>
      <c r="C43" s="137"/>
      <c r="D43" s="361"/>
      <c r="E43" s="362"/>
      <c r="F43" s="363"/>
      <c r="G43" s="152"/>
      <c r="H43" s="153" t="str">
        <f>IF(OR(D43="",D43=""),"",VLOOKUP(D43,'price and cost sheet'!C:F,2,0))</f>
        <v/>
      </c>
      <c r="I43" s="157" t="s">
        <v>503</v>
      </c>
      <c r="J43" s="158" t="str">
        <f t="shared" si="1"/>
        <v/>
      </c>
      <c r="K43" s="153" t="str">
        <f>IF(OR(D43="",D43=""),"",VLOOKUP(D43,'price and cost sheet'!C:F,4,0))</f>
        <v/>
      </c>
      <c r="N43" s="165"/>
      <c r="R43" s="184" t="str">
        <f>IF(OR(D43="",D43=""),"",VLOOKUP(D43,'price and cost sheet'!$C:$F,3,0))</f>
        <v/>
      </c>
    </row>
    <row r="44" spans="1:18" ht="24" customHeight="1">
      <c r="A44" s="151">
        <v>3</v>
      </c>
      <c r="B44" s="137"/>
      <c r="C44" s="137"/>
      <c r="D44" s="358"/>
      <c r="E44" s="359"/>
      <c r="F44" s="360"/>
      <c r="G44" s="152"/>
      <c r="H44" s="153" t="str">
        <f>IF(OR(D44="",D44=""),"",VLOOKUP(D44,'price and cost sheet'!C:F,2,0))</f>
        <v/>
      </c>
      <c r="I44" s="157" t="s">
        <v>503</v>
      </c>
      <c r="J44" s="158" t="str">
        <f t="shared" si="1"/>
        <v/>
      </c>
      <c r="K44" s="153" t="str">
        <f>IF(OR(D44="",D44=""),"",VLOOKUP(D44,'price and cost sheet'!C:F,4,0))</f>
        <v/>
      </c>
      <c r="N44" s="165"/>
      <c r="O44" s="161"/>
      <c r="R44" s="184" t="str">
        <f>IF(OR(D44="",D44=""),"",VLOOKUP(D44,'price and cost sheet'!$C:$F,3,0))</f>
        <v/>
      </c>
    </row>
    <row r="45" spans="1:18" ht="24" customHeight="1">
      <c r="A45" s="151">
        <v>4</v>
      </c>
      <c r="B45" s="137"/>
      <c r="C45" s="137"/>
      <c r="D45" s="358"/>
      <c r="E45" s="359"/>
      <c r="F45" s="360"/>
      <c r="G45" s="152"/>
      <c r="H45" s="153" t="str">
        <f>IF(OR(D45="",D45=""),"",VLOOKUP(D45,'price and cost sheet'!C:F,2,0))</f>
        <v/>
      </c>
      <c r="I45" s="157" t="s">
        <v>503</v>
      </c>
      <c r="J45" s="158" t="str">
        <f t="shared" si="1"/>
        <v/>
      </c>
      <c r="K45" s="153" t="str">
        <f>IF(OR(D45="",D45=""),"",VLOOKUP(D45,'price and cost sheet'!C:F,4,0))</f>
        <v/>
      </c>
      <c r="N45" s="165"/>
      <c r="R45" s="184" t="str">
        <f>IF(OR(D45="",D45=""),"",VLOOKUP(D45,'price and cost sheet'!$C:$F,3,0))</f>
        <v/>
      </c>
    </row>
    <row r="46" spans="1:18" ht="24" customHeight="1">
      <c r="A46" s="151">
        <v>5</v>
      </c>
      <c r="B46" s="137"/>
      <c r="C46" s="137"/>
      <c r="D46" s="361"/>
      <c r="E46" s="362"/>
      <c r="F46" s="363"/>
      <c r="G46" s="152"/>
      <c r="H46" s="153" t="str">
        <f>IF(OR(D46="",D46=""),"",VLOOKUP(D46,'price and cost sheet'!C:F,2,0))</f>
        <v/>
      </c>
      <c r="I46" s="157" t="s">
        <v>503</v>
      </c>
      <c r="J46" s="158" t="str">
        <f t="shared" si="1"/>
        <v/>
      </c>
      <c r="K46" s="153" t="str">
        <f>IF(OR(D46="",D46=""),"",VLOOKUP(D46,'price and cost sheet'!C:F,4,0))</f>
        <v/>
      </c>
      <c r="N46" s="165"/>
      <c r="R46" s="184" t="str">
        <f>IF(OR(D46="",D46=""),"",VLOOKUP(D46,'price and cost sheet'!$C:$F,3,0))</f>
        <v/>
      </c>
    </row>
    <row r="47" spans="1:18" ht="24" customHeight="1">
      <c r="A47" s="151">
        <v>6</v>
      </c>
      <c r="B47" s="137"/>
      <c r="C47" s="137"/>
      <c r="D47" s="358"/>
      <c r="E47" s="359"/>
      <c r="F47" s="360"/>
      <c r="G47" s="138"/>
      <c r="H47" s="153" t="str">
        <f>IF(OR(D47="",D47=""),"",VLOOKUP(D47,'price and cost sheet'!C:F,2,0))</f>
        <v/>
      </c>
      <c r="I47" s="157" t="s">
        <v>503</v>
      </c>
      <c r="J47" s="158" t="str">
        <f t="shared" si="1"/>
        <v/>
      </c>
      <c r="K47" s="153" t="str">
        <f>IF(OR(D47="",D47=""),"",VLOOKUP(D47,'price and cost sheet'!C:F,4,0))</f>
        <v/>
      </c>
      <c r="N47" s="165"/>
      <c r="R47" s="184" t="str">
        <f>IF(OR(D47="",D47=""),"",VLOOKUP(D47,'price and cost sheet'!$C:$F,3,0))</f>
        <v/>
      </c>
    </row>
    <row r="48" spans="1:18" ht="24" customHeight="1">
      <c r="A48" s="151">
        <v>7</v>
      </c>
      <c r="B48" s="137"/>
      <c r="C48" s="137"/>
      <c r="D48" s="358"/>
      <c r="E48" s="359"/>
      <c r="F48" s="360"/>
      <c r="G48" s="138"/>
      <c r="H48" s="153" t="str">
        <f>IF(OR(D48="",D48=""),"",VLOOKUP(D48,'price and cost sheet'!C:F,2,0))</f>
        <v/>
      </c>
      <c r="I48" s="157" t="s">
        <v>503</v>
      </c>
      <c r="J48" s="158" t="str">
        <f t="shared" si="1"/>
        <v/>
      </c>
      <c r="K48" s="153" t="str">
        <f>IF(OR(D48="",D48=""),"",VLOOKUP(D48,'price and cost sheet'!C:F,4,0))</f>
        <v/>
      </c>
      <c r="R48" s="184" t="str">
        <f>IF(OR(D48="",D48=""),"",VLOOKUP(D48,'price and cost sheet'!$C:$F,3,0))</f>
        <v/>
      </c>
    </row>
    <row r="49" spans="1:18" ht="24" customHeight="1">
      <c r="A49" s="151">
        <v>8</v>
      </c>
      <c r="B49" s="137"/>
      <c r="C49" s="137"/>
      <c r="D49" s="358"/>
      <c r="E49" s="359"/>
      <c r="F49" s="360"/>
      <c r="G49" s="138"/>
      <c r="H49" s="153" t="str">
        <f>IF(OR(D49="",D49=""),"",VLOOKUP(D49,'price and cost sheet'!C:F,2,0))</f>
        <v/>
      </c>
      <c r="I49" s="157" t="s">
        <v>503</v>
      </c>
      <c r="J49" s="158" t="str">
        <f t="shared" si="1"/>
        <v/>
      </c>
      <c r="K49" s="153" t="str">
        <f>IF(OR(D49="",D49=""),"",VLOOKUP(D49,'price and cost sheet'!C:F,4,0))</f>
        <v/>
      </c>
      <c r="R49" s="184" t="str">
        <f>IF(OR(D49="",D49=""),"",VLOOKUP(D49,'price and cost sheet'!$C:$F,3,0))</f>
        <v/>
      </c>
    </row>
    <row r="50" spans="1:18" ht="24" customHeight="1">
      <c r="A50" s="151">
        <v>9</v>
      </c>
      <c r="B50" s="137"/>
      <c r="C50" s="137"/>
      <c r="D50" s="358"/>
      <c r="E50" s="359"/>
      <c r="F50" s="360"/>
      <c r="G50" s="166"/>
      <c r="H50" s="153" t="str">
        <f>IF(OR(D50="",D50=""),"",VLOOKUP(D50,'price and cost sheet'!C:F,2,0))</f>
        <v/>
      </c>
      <c r="I50" s="157" t="s">
        <v>503</v>
      </c>
      <c r="J50" s="158" t="str">
        <f t="shared" si="1"/>
        <v/>
      </c>
      <c r="K50" s="153" t="str">
        <f>IF(OR(D50="",D50=""),"",VLOOKUP(D50,'price and cost sheet'!C:F,4,0))</f>
        <v/>
      </c>
      <c r="R50" s="184" t="str">
        <f>IF(OR(D50="",D50=""),"",VLOOKUP(D50,'price and cost sheet'!$C:$F,3,0))</f>
        <v/>
      </c>
    </row>
    <row r="51" spans="1:18" ht="24" customHeight="1">
      <c r="A51" s="151">
        <v>10</v>
      </c>
      <c r="B51" s="137"/>
      <c r="C51" s="137"/>
      <c r="D51" s="358"/>
      <c r="E51" s="359"/>
      <c r="F51" s="360"/>
      <c r="G51" s="166"/>
      <c r="H51" s="153" t="str">
        <f>IF(OR(D51="",D51=""),"",VLOOKUP(D51,'price and cost sheet'!C:F,2,0))</f>
        <v/>
      </c>
      <c r="I51" s="157" t="s">
        <v>503</v>
      </c>
      <c r="J51" s="158" t="str">
        <f t="shared" si="1"/>
        <v/>
      </c>
      <c r="K51" s="153" t="str">
        <f>IF(OR(D51="",D51=""),"",VLOOKUP(D51,'price and cost sheet'!C:F,4,0))</f>
        <v/>
      </c>
      <c r="R51" s="184" t="str">
        <f>IF(OR(D51="",D51=""),"",VLOOKUP(D51,'price and cost sheet'!$C:$F,3,0))</f>
        <v/>
      </c>
    </row>
    <row r="52" spans="1:18" ht="24" customHeight="1">
      <c r="A52" s="151">
        <v>11</v>
      </c>
      <c r="B52" s="137"/>
      <c r="C52" s="137"/>
      <c r="D52" s="358"/>
      <c r="E52" s="359"/>
      <c r="F52" s="360"/>
      <c r="G52" s="166"/>
      <c r="H52" s="153" t="str">
        <f>IF(OR(D52="",D52=""),"",VLOOKUP(D52,'price and cost sheet'!C:F,2,0))</f>
        <v/>
      </c>
      <c r="I52" s="157" t="s">
        <v>503</v>
      </c>
      <c r="J52" s="158" t="str">
        <f t="shared" si="1"/>
        <v/>
      </c>
      <c r="K52" s="153" t="str">
        <f>IF(OR(D52="",D52=""),"",VLOOKUP(D52,'price and cost sheet'!C:F,4,0))</f>
        <v/>
      </c>
      <c r="R52" s="184" t="str">
        <f>IF(OR(D52="",D52=""),"",VLOOKUP(D52,'price and cost sheet'!$C:$F,3,0))</f>
        <v/>
      </c>
    </row>
    <row r="53" spans="1:18" ht="24" customHeight="1">
      <c r="A53" s="151">
        <v>12</v>
      </c>
      <c r="B53" s="137"/>
      <c r="C53" s="137"/>
      <c r="D53" s="358"/>
      <c r="E53" s="359"/>
      <c r="F53" s="360"/>
      <c r="G53" s="166"/>
      <c r="H53" s="153" t="str">
        <f>IF(OR(D53="",D53=""),"",VLOOKUP(D53,'price and cost sheet'!C:F,2,0))</f>
        <v/>
      </c>
      <c r="I53" s="157" t="s">
        <v>503</v>
      </c>
      <c r="J53" s="158" t="str">
        <f t="shared" si="1"/>
        <v/>
      </c>
      <c r="K53" s="153" t="str">
        <f>IF(OR(D53="",D53=""),"",VLOOKUP(D53,'price and cost sheet'!C:F,4,0))</f>
        <v/>
      </c>
      <c r="R53" s="184" t="str">
        <f>IF(OR(D53="",D53=""),"",VLOOKUP(D53,'price and cost sheet'!$C:$F,3,0))</f>
        <v/>
      </c>
    </row>
    <row r="54" spans="1:18" ht="24" customHeight="1">
      <c r="A54" s="151">
        <v>13</v>
      </c>
      <c r="B54" s="137"/>
      <c r="C54" s="137"/>
      <c r="D54" s="358"/>
      <c r="E54" s="359"/>
      <c r="F54" s="360"/>
      <c r="G54" s="166"/>
      <c r="H54" s="153" t="str">
        <f>IF(OR(D54="",D54=""),"",VLOOKUP(D54,'price and cost sheet'!C:F,2,0))</f>
        <v/>
      </c>
      <c r="I54" s="157" t="s">
        <v>503</v>
      </c>
      <c r="J54" s="158" t="str">
        <f t="shared" si="1"/>
        <v/>
      </c>
      <c r="K54" s="153" t="str">
        <f>IF(OR(D54="",D54=""),"",VLOOKUP(D54,'price and cost sheet'!C:F,4,0))</f>
        <v/>
      </c>
      <c r="R54" s="184" t="str">
        <f>IF(OR(D54="",D54=""),"",VLOOKUP(D54,'price and cost sheet'!$C:$F,3,0))</f>
        <v/>
      </c>
    </row>
    <row r="55" spans="1:18" ht="24" customHeight="1">
      <c r="A55" s="151">
        <v>14</v>
      </c>
      <c r="B55" s="137"/>
      <c r="C55" s="137"/>
      <c r="D55" s="358"/>
      <c r="E55" s="359"/>
      <c r="F55" s="360"/>
      <c r="G55" s="166"/>
      <c r="H55" s="153" t="str">
        <f>IF(OR(D55="",D55=""),"",VLOOKUP(D55,'price and cost sheet'!C:F,2,0))</f>
        <v/>
      </c>
      <c r="I55" s="157" t="s">
        <v>503</v>
      </c>
      <c r="J55" s="158" t="str">
        <f t="shared" si="1"/>
        <v/>
      </c>
      <c r="K55" s="153" t="str">
        <f>IF(OR(D55="",D55=""),"",VLOOKUP(D55,'price and cost sheet'!C:F,4,0))</f>
        <v/>
      </c>
      <c r="R55" s="184" t="str">
        <f>IF(OR(D55="",D55=""),"",VLOOKUP(D55,'price and cost sheet'!$C:$F,3,0))</f>
        <v/>
      </c>
    </row>
    <row r="56" spans="1:18" ht="24" customHeight="1">
      <c r="A56" s="151">
        <v>15</v>
      </c>
      <c r="B56" s="137"/>
      <c r="C56" s="137"/>
      <c r="D56" s="361"/>
      <c r="E56" s="362"/>
      <c r="F56" s="363"/>
      <c r="G56" s="166"/>
      <c r="H56" s="153" t="str">
        <f>IF(OR(D56="",D56=""),"",VLOOKUP(D56,'price and cost sheet'!C:F,2,0))</f>
        <v/>
      </c>
      <c r="I56" s="157" t="s">
        <v>503</v>
      </c>
      <c r="J56" s="158" t="str">
        <f t="shared" si="1"/>
        <v/>
      </c>
      <c r="K56" s="153" t="str">
        <f>IF(OR(D56="",D56=""),"",VLOOKUP(D56,'price and cost sheet'!C:F,4,0))</f>
        <v/>
      </c>
      <c r="R56" s="184" t="str">
        <f>IF(OR(D56="",D56=""),"",VLOOKUP(D56,'price and cost sheet'!$C:$F,3,0))</f>
        <v/>
      </c>
    </row>
    <row r="57" spans="1:18" ht="24" customHeight="1">
      <c r="A57" s="151">
        <v>16</v>
      </c>
      <c r="B57" s="137"/>
      <c r="C57" s="137"/>
      <c r="D57" s="361"/>
      <c r="E57" s="362"/>
      <c r="F57" s="363"/>
      <c r="G57" s="166"/>
      <c r="H57" s="153" t="str">
        <f>IF(OR(D57="",D57=""),"",VLOOKUP(D57,'price and cost sheet'!C:F,2,0))</f>
        <v/>
      </c>
      <c r="I57" s="157" t="s">
        <v>503</v>
      </c>
      <c r="J57" s="158" t="str">
        <f t="shared" si="1"/>
        <v/>
      </c>
      <c r="K57" s="153" t="str">
        <f>IF(OR(D57="",D57=""),"",VLOOKUP(D57,'price and cost sheet'!C:F,4,0))</f>
        <v/>
      </c>
      <c r="R57" s="184" t="str">
        <f>IF(OR(D57="",D57=""),"",VLOOKUP(D57,'price and cost sheet'!$C:$F,3,0))</f>
        <v/>
      </c>
    </row>
    <row r="58" spans="1:18" ht="24" customHeight="1">
      <c r="A58" s="151">
        <v>17</v>
      </c>
      <c r="B58" s="137"/>
      <c r="C58" s="137"/>
      <c r="D58" s="361"/>
      <c r="E58" s="362"/>
      <c r="F58" s="363"/>
      <c r="G58" s="166"/>
      <c r="H58" s="153" t="str">
        <f>IF(OR(D58="",D58=""),"",VLOOKUP(D58,'price and cost sheet'!C:F,2,0))</f>
        <v/>
      </c>
      <c r="I58" s="157" t="s">
        <v>503</v>
      </c>
      <c r="J58" s="158" t="str">
        <f t="shared" si="1"/>
        <v/>
      </c>
      <c r="K58" s="153" t="str">
        <f>IF(OR(D58="",D58=""),"",VLOOKUP(D58,'price and cost sheet'!C:F,4,0))</f>
        <v/>
      </c>
      <c r="R58" s="184" t="str">
        <f>IF(OR(D58="",D58=""),"",VLOOKUP(D58,'price and cost sheet'!$C:$F,3,0))</f>
        <v/>
      </c>
    </row>
    <row r="59" spans="1:18" ht="24" customHeight="1">
      <c r="A59" s="151">
        <v>18</v>
      </c>
      <c r="B59" s="137"/>
      <c r="C59" s="137"/>
      <c r="D59" s="361"/>
      <c r="E59" s="362"/>
      <c r="F59" s="363"/>
      <c r="G59" s="166"/>
      <c r="H59" s="153" t="str">
        <f>IF(OR(D59="",D59=""),"",VLOOKUP(D59,'price and cost sheet'!C:F,2,0))</f>
        <v/>
      </c>
      <c r="I59" s="157" t="s">
        <v>503</v>
      </c>
      <c r="J59" s="158" t="str">
        <f t="shared" si="1"/>
        <v/>
      </c>
      <c r="K59" s="153" t="str">
        <f>IF(OR(D59="",D59=""),"",VLOOKUP(D59,'price and cost sheet'!C:F,4,0))</f>
        <v/>
      </c>
      <c r="R59" s="184" t="str">
        <f>IF(OR(D59="",D59=""),"",VLOOKUP(D59,'price and cost sheet'!$C:$F,3,0))</f>
        <v/>
      </c>
    </row>
    <row r="60" spans="1:18" ht="24" customHeight="1">
      <c r="A60" s="151">
        <v>19</v>
      </c>
      <c r="B60" s="137"/>
      <c r="C60" s="137"/>
      <c r="D60" s="361"/>
      <c r="E60" s="362"/>
      <c r="F60" s="363"/>
      <c r="G60" s="166"/>
      <c r="H60" s="153" t="str">
        <f>IF(OR(D60="",D60=""),"",VLOOKUP(D60,'price and cost sheet'!C:F,2,0))</f>
        <v/>
      </c>
      <c r="I60" s="157" t="s">
        <v>503</v>
      </c>
      <c r="J60" s="158" t="str">
        <f t="shared" si="1"/>
        <v/>
      </c>
      <c r="K60" s="153" t="str">
        <f>IF(OR(D60="",D60=""),"",VLOOKUP(D60,'price and cost sheet'!C:F,4,0))</f>
        <v/>
      </c>
      <c r="R60" s="184" t="str">
        <f>IF(OR(D60="",D60=""),"",VLOOKUP(D60,'price and cost sheet'!$C:$F,3,0))</f>
        <v/>
      </c>
    </row>
    <row r="61" spans="1:18" ht="24" customHeight="1">
      <c r="A61" s="151">
        <v>20</v>
      </c>
      <c r="B61" s="137"/>
      <c r="C61" s="137"/>
      <c r="D61" s="361"/>
      <c r="E61" s="362"/>
      <c r="F61" s="363"/>
      <c r="G61" s="166"/>
      <c r="H61" s="153" t="str">
        <f>IF(OR(D61="",D61=""),"",VLOOKUP(D61,'price and cost sheet'!C:F,2,0))</f>
        <v/>
      </c>
      <c r="I61" s="157" t="s">
        <v>503</v>
      </c>
      <c r="J61" s="158" t="str">
        <f t="shared" si="1"/>
        <v/>
      </c>
      <c r="K61" s="153" t="str">
        <f>IF(OR(D61="",D61=""),"",VLOOKUP(D61,'price and cost sheet'!C:F,4,0))</f>
        <v/>
      </c>
      <c r="R61" s="184" t="str">
        <f>IF(OR(D61="",D61=""),"",VLOOKUP(D61,'price and cost sheet'!$C:$F,3,0))</f>
        <v/>
      </c>
    </row>
    <row r="62" spans="1:18" ht="24" customHeight="1">
      <c r="A62" s="151">
        <v>21</v>
      </c>
      <c r="B62" s="137"/>
      <c r="C62" s="137"/>
      <c r="D62" s="358"/>
      <c r="E62" s="359"/>
      <c r="F62" s="360"/>
      <c r="G62" s="166"/>
      <c r="H62" s="153" t="str">
        <f>IF(OR(D62="",D62=""),"",VLOOKUP(D62,'price and cost sheet'!C:F,2,0))</f>
        <v/>
      </c>
      <c r="I62" s="157" t="s">
        <v>503</v>
      </c>
      <c r="J62" s="158" t="str">
        <f t="shared" si="1"/>
        <v/>
      </c>
      <c r="K62" s="153" t="str">
        <f>IF(OR(D62="",D62=""),"",VLOOKUP(D62,'price and cost sheet'!C:F,4,0))</f>
        <v/>
      </c>
      <c r="R62" s="184" t="str">
        <f>IF(OR(D62="",D62=""),"",VLOOKUP(D62,'price and cost sheet'!$C:$F,3,0))</f>
        <v/>
      </c>
    </row>
    <row r="63" spans="1:18" ht="24" customHeight="1">
      <c r="A63" s="151">
        <v>22</v>
      </c>
      <c r="B63" s="137"/>
      <c r="C63" s="137"/>
      <c r="D63" s="358"/>
      <c r="E63" s="359"/>
      <c r="F63" s="360"/>
      <c r="G63" s="166"/>
      <c r="H63" s="153" t="str">
        <f>IF(OR(D63="",D63=""),"",VLOOKUP(D63,'price and cost sheet'!C:F,2,0))</f>
        <v/>
      </c>
      <c r="I63" s="157" t="s">
        <v>503</v>
      </c>
      <c r="J63" s="158" t="str">
        <f t="shared" si="1"/>
        <v/>
      </c>
      <c r="K63" s="153" t="str">
        <f>IF(OR(D63="",D63=""),"",VLOOKUP(D63,'price and cost sheet'!C:F,4,0))</f>
        <v/>
      </c>
      <c r="R63" s="184" t="str">
        <f>IF(OR(D63="",D63=""),"",VLOOKUP(D63,'price and cost sheet'!$C:$F,3,0))</f>
        <v/>
      </c>
    </row>
    <row r="64" spans="1:18" ht="24" customHeight="1">
      <c r="A64" s="151">
        <v>23</v>
      </c>
      <c r="B64" s="137"/>
      <c r="C64" s="137"/>
      <c r="D64" s="358"/>
      <c r="E64" s="359"/>
      <c r="F64" s="360"/>
      <c r="G64" s="166"/>
      <c r="H64" s="153" t="str">
        <f>IF(OR(D64="",D64=""),"",VLOOKUP(D64,'price and cost sheet'!C:F,2,0))</f>
        <v/>
      </c>
      <c r="I64" s="157" t="s">
        <v>503</v>
      </c>
      <c r="J64" s="158" t="str">
        <f t="shared" si="1"/>
        <v/>
      </c>
      <c r="K64" s="153" t="str">
        <f>IF(OR(D64="",D64=""),"",VLOOKUP(D64,'price and cost sheet'!C:F,4,0))</f>
        <v/>
      </c>
      <c r="R64" s="184" t="str">
        <f>IF(OR(D64="",D64=""),"",VLOOKUP(D64,'price and cost sheet'!$C:$F,3,0))</f>
        <v/>
      </c>
    </row>
    <row r="65" spans="1:18" ht="24" customHeight="1">
      <c r="A65" s="151">
        <v>24</v>
      </c>
      <c r="B65" s="137"/>
      <c r="C65" s="137"/>
      <c r="D65" s="358"/>
      <c r="E65" s="359"/>
      <c r="F65" s="360"/>
      <c r="G65" s="166"/>
      <c r="H65" s="153" t="str">
        <f>IF(OR(D65="",D65=""),"",VLOOKUP(D65,'price and cost sheet'!C:F,2,0))</f>
        <v/>
      </c>
      <c r="I65" s="157" t="s">
        <v>503</v>
      </c>
      <c r="J65" s="158" t="str">
        <f t="shared" si="1"/>
        <v/>
      </c>
      <c r="K65" s="153" t="str">
        <f>IF(OR(D65="",D65=""),"",VLOOKUP(D65,'price and cost sheet'!C:F,4,0))</f>
        <v/>
      </c>
      <c r="R65" s="184" t="str">
        <f>IF(OR(D65="",D65=""),"",VLOOKUP(D65,'price and cost sheet'!$C:$F,3,0))</f>
        <v/>
      </c>
    </row>
    <row r="66" spans="1:18" ht="24" customHeight="1">
      <c r="A66" s="151">
        <v>25</v>
      </c>
      <c r="B66" s="137"/>
      <c r="C66" s="137"/>
      <c r="D66" s="358"/>
      <c r="E66" s="359"/>
      <c r="F66" s="360"/>
      <c r="G66" s="166"/>
      <c r="H66" s="153" t="str">
        <f>IF(OR(D66="",D66=""),"",VLOOKUP(D66,'price and cost sheet'!C:F,2,0))</f>
        <v/>
      </c>
      <c r="I66" s="157" t="s">
        <v>503</v>
      </c>
      <c r="J66" s="158" t="str">
        <f t="shared" si="1"/>
        <v/>
      </c>
      <c r="K66" s="153" t="str">
        <f>IF(OR(D66="",D66=""),"",VLOOKUP(D66,'price and cost sheet'!C:F,4,0))</f>
        <v/>
      </c>
      <c r="R66" s="184" t="str">
        <f>IF(OR(D66="",D66=""),"",VLOOKUP(D66,'price and cost sheet'!$C:$F,3,0))</f>
        <v/>
      </c>
    </row>
    <row r="67" spans="1:18" ht="24" customHeight="1">
      <c r="A67" s="151">
        <v>26</v>
      </c>
      <c r="B67" s="137"/>
      <c r="C67" s="137"/>
      <c r="D67" s="358"/>
      <c r="E67" s="359"/>
      <c r="F67" s="360"/>
      <c r="G67" s="180"/>
      <c r="H67" s="153" t="str">
        <f>IF(OR(D67="",D67=""),"",VLOOKUP(D67,'price and cost sheet'!C:F,2,0))</f>
        <v/>
      </c>
      <c r="I67" s="157" t="s">
        <v>503</v>
      </c>
      <c r="J67" s="158" t="str">
        <f t="shared" si="1"/>
        <v/>
      </c>
      <c r="K67" s="153" t="str">
        <f>IF(OR(D67="",D67=""),"",VLOOKUP(D67,'price and cost sheet'!C:F,4,0))</f>
        <v/>
      </c>
      <c r="R67" s="184" t="str">
        <f>IF(OR(D67="",D67=""),"",VLOOKUP(D67,'price and cost sheet'!$C:$F,3,0))</f>
        <v/>
      </c>
    </row>
    <row r="68" spans="1:18" ht="24" customHeight="1">
      <c r="A68" s="151">
        <v>27</v>
      </c>
      <c r="B68" s="137"/>
      <c r="C68" s="137"/>
      <c r="D68" s="358"/>
      <c r="E68" s="359"/>
      <c r="F68" s="360"/>
      <c r="G68" s="180"/>
      <c r="H68" s="153" t="str">
        <f>IF(OR(D68="",D68=""),"",VLOOKUP(D68,'price and cost sheet'!C:F,2,0))</f>
        <v/>
      </c>
      <c r="I68" s="157" t="s">
        <v>503</v>
      </c>
      <c r="J68" s="158" t="str">
        <f t="shared" si="1"/>
        <v/>
      </c>
      <c r="K68" s="153" t="str">
        <f>IF(OR(D68="",D68=""),"",VLOOKUP(D68,'price and cost sheet'!C:F,4,0))</f>
        <v/>
      </c>
      <c r="R68" s="184" t="str">
        <f>IF(OR(D68="",D68=""),"",VLOOKUP(D68,'price and cost sheet'!$C:$F,3,0))</f>
        <v/>
      </c>
    </row>
    <row r="69" spans="1:18" ht="24" customHeight="1">
      <c r="A69" s="151">
        <v>28</v>
      </c>
      <c r="B69" s="137"/>
      <c r="C69" s="137"/>
      <c r="D69" s="358"/>
      <c r="E69" s="359"/>
      <c r="F69" s="360"/>
      <c r="G69" s="180"/>
      <c r="H69" s="153" t="str">
        <f>IF(OR(D69="",D69=""),"",VLOOKUP(D69,'price and cost sheet'!C:F,2,0))</f>
        <v/>
      </c>
      <c r="I69" s="157" t="s">
        <v>503</v>
      </c>
      <c r="J69" s="158" t="str">
        <f t="shared" si="1"/>
        <v/>
      </c>
      <c r="K69" s="153" t="str">
        <f>IF(OR(D69="",D69=""),"",VLOOKUP(D69,'price and cost sheet'!C:F,4,0))</f>
        <v/>
      </c>
      <c r="R69" s="184" t="str">
        <f>IF(OR(D69="",D69=""),"",VLOOKUP(D69,'price and cost sheet'!$C:$F,3,0))</f>
        <v/>
      </c>
    </row>
    <row r="70" spans="1:18" ht="24" customHeight="1">
      <c r="A70" s="151">
        <v>29</v>
      </c>
      <c r="B70" s="137"/>
      <c r="C70" s="137"/>
      <c r="D70" s="358"/>
      <c r="E70" s="359"/>
      <c r="F70" s="360"/>
      <c r="G70" s="180"/>
      <c r="H70" s="153" t="str">
        <f>IF(OR(D70="",D70=""),"",VLOOKUP(D70,'price and cost sheet'!C:F,2,0))</f>
        <v/>
      </c>
      <c r="I70" s="157" t="s">
        <v>503</v>
      </c>
      <c r="J70" s="158" t="str">
        <f t="shared" si="1"/>
        <v/>
      </c>
      <c r="K70" s="153" t="str">
        <f>IF(OR(D70="",D70=""),"",VLOOKUP(D70,'price and cost sheet'!C:F,4,0))</f>
        <v/>
      </c>
      <c r="R70" s="184" t="str">
        <f>IF(OR(D70="",D70=""),"",VLOOKUP(D70,'price and cost sheet'!$C:$F,3,0))</f>
        <v/>
      </c>
    </row>
    <row r="71" spans="1:18" ht="24" customHeight="1">
      <c r="A71" s="151">
        <v>30</v>
      </c>
      <c r="B71" s="137"/>
      <c r="C71" s="137"/>
      <c r="D71" s="358"/>
      <c r="E71" s="359"/>
      <c r="F71" s="360"/>
      <c r="G71" s="180"/>
      <c r="H71" s="153" t="str">
        <f>IF(OR(D71="",D71=""),"",VLOOKUP(D71,'price and cost sheet'!C:F,2,0))</f>
        <v/>
      </c>
      <c r="I71" s="157" t="s">
        <v>503</v>
      </c>
      <c r="J71" s="158" t="str">
        <f t="shared" si="1"/>
        <v/>
      </c>
      <c r="K71" s="153" t="str">
        <f>IF(OR(D71="",D71=""),"",VLOOKUP(D71,'price and cost sheet'!C:F,4,0))</f>
        <v/>
      </c>
      <c r="R71" s="184" t="str">
        <f>IF(OR(D71="",D71=""),"",VLOOKUP(D71,'price and cost sheet'!$C:$F,3,0))</f>
        <v/>
      </c>
    </row>
    <row r="72" spans="1:18" ht="24" customHeight="1">
      <c r="A72" s="151">
        <v>31</v>
      </c>
      <c r="B72" s="137"/>
      <c r="C72" s="137"/>
      <c r="D72" s="358"/>
      <c r="E72" s="359"/>
      <c r="F72" s="360"/>
      <c r="G72" s="180"/>
      <c r="H72" s="153" t="str">
        <f>IF(OR(D72="",D72=""),"",VLOOKUP(D72,'price and cost sheet'!C:F,2,0))</f>
        <v/>
      </c>
      <c r="I72" s="157" t="s">
        <v>503</v>
      </c>
      <c r="J72" s="158" t="str">
        <f t="shared" si="1"/>
        <v/>
      </c>
      <c r="K72" s="153" t="str">
        <f>IF(OR(D72="",D72=""),"",VLOOKUP(D72,'price and cost sheet'!C:F,4,0))</f>
        <v/>
      </c>
      <c r="R72" s="184" t="str">
        <f>IF(OR(D72="",D72=""),"",VLOOKUP(D72,'price and cost sheet'!$C:$F,3,0))</f>
        <v/>
      </c>
    </row>
    <row r="73" spans="1:18" ht="24" customHeight="1">
      <c r="A73" s="151">
        <v>32</v>
      </c>
      <c r="B73" s="137"/>
      <c r="C73" s="137"/>
      <c r="D73" s="358"/>
      <c r="E73" s="359"/>
      <c r="F73" s="360"/>
      <c r="G73" s="180"/>
      <c r="H73" s="153" t="str">
        <f>IF(OR(D73="",D73=""),"",VLOOKUP(D73,'price and cost sheet'!C:F,2,0))</f>
        <v/>
      </c>
      <c r="I73" s="157" t="s">
        <v>503</v>
      </c>
      <c r="J73" s="158" t="str">
        <f t="shared" si="1"/>
        <v/>
      </c>
      <c r="K73" s="153" t="str">
        <f>IF(OR(D73="",D73=""),"",VLOOKUP(D73,'price and cost sheet'!C:F,4,0))</f>
        <v/>
      </c>
      <c r="R73" s="184" t="str">
        <f>IF(OR(D73="",D73=""),"",VLOOKUP(D73,'price and cost sheet'!$C:$F,3,0))</f>
        <v/>
      </c>
    </row>
    <row r="74" spans="1:18" ht="24" customHeight="1">
      <c r="A74" s="151">
        <v>33</v>
      </c>
      <c r="B74" s="137"/>
      <c r="C74" s="137"/>
      <c r="D74" s="358"/>
      <c r="E74" s="359"/>
      <c r="F74" s="360"/>
      <c r="G74" s="180"/>
      <c r="H74" s="153" t="str">
        <f>IF(OR(D74="",D74=""),"",VLOOKUP(D74,'price and cost sheet'!C:F,2,0))</f>
        <v/>
      </c>
      <c r="I74" s="157" t="s">
        <v>503</v>
      </c>
      <c r="J74" s="158" t="str">
        <f t="shared" si="1"/>
        <v/>
      </c>
      <c r="K74" s="153" t="str">
        <f>IF(OR(D74="",D74=""),"",VLOOKUP(D74,'price and cost sheet'!C:F,4,0))</f>
        <v/>
      </c>
      <c r="R74" s="184" t="str">
        <f>IF(OR(D74="",D74=""),"",VLOOKUP(D74,'price and cost sheet'!$C:$F,3,0))</f>
        <v/>
      </c>
    </row>
    <row r="75" spans="1:18" ht="24" customHeight="1">
      <c r="A75" s="151">
        <v>34</v>
      </c>
      <c r="B75" s="137"/>
      <c r="C75" s="137"/>
      <c r="D75" s="358"/>
      <c r="E75" s="359"/>
      <c r="F75" s="360"/>
      <c r="G75" s="180"/>
      <c r="H75" s="153" t="str">
        <f>IF(OR(D75="",D75=""),"",VLOOKUP(D75,'price and cost sheet'!C:F,2,0))</f>
        <v/>
      </c>
      <c r="I75" s="157" t="s">
        <v>503</v>
      </c>
      <c r="J75" s="158" t="str">
        <f t="shared" si="1"/>
        <v/>
      </c>
      <c r="K75" s="153" t="str">
        <f>IF(OR(D75="",D75=""),"",VLOOKUP(D75,'price and cost sheet'!C:F,4,0))</f>
        <v/>
      </c>
      <c r="R75" s="184" t="str">
        <f>IF(OR(D75="",D75=""),"",VLOOKUP(D75,'price and cost sheet'!$C:$F,3,0))</f>
        <v/>
      </c>
    </row>
    <row r="76" spans="1:18" ht="24" customHeight="1">
      <c r="A76" s="151">
        <v>35</v>
      </c>
      <c r="B76" s="137"/>
      <c r="C76" s="137"/>
      <c r="D76" s="358"/>
      <c r="E76" s="359"/>
      <c r="F76" s="360"/>
      <c r="G76" s="180"/>
      <c r="H76" s="153" t="str">
        <f>IF(OR(D76="",D76=""),"",VLOOKUP(D76,'price and cost sheet'!C:F,2,0))</f>
        <v/>
      </c>
      <c r="I76" s="157" t="s">
        <v>503</v>
      </c>
      <c r="J76" s="158" t="str">
        <f t="shared" si="1"/>
        <v/>
      </c>
      <c r="K76" s="153" t="str">
        <f>IF(OR(D76="",D76=""),"",VLOOKUP(D76,'price and cost sheet'!C:F,4,0))</f>
        <v/>
      </c>
      <c r="R76" s="184" t="str">
        <f>IF(OR(D76="",D76=""),"",VLOOKUP(D76,'price and cost sheet'!$C:$F,3,0))</f>
        <v/>
      </c>
    </row>
    <row r="77" spans="1:18" ht="24" customHeight="1">
      <c r="A77" s="151">
        <v>36</v>
      </c>
      <c r="B77" s="137"/>
      <c r="C77" s="137"/>
      <c r="D77" s="358"/>
      <c r="E77" s="359"/>
      <c r="F77" s="360"/>
      <c r="G77" s="180"/>
      <c r="H77" s="153" t="str">
        <f>IF(OR(D77="",D77=""),"",VLOOKUP(D77,'price and cost sheet'!C:F,2,0))</f>
        <v/>
      </c>
      <c r="I77" s="157" t="s">
        <v>503</v>
      </c>
      <c r="J77" s="158" t="str">
        <f t="shared" si="1"/>
        <v/>
      </c>
      <c r="K77" s="153" t="str">
        <f>IF(OR(D77="",D77=""),"",VLOOKUP(D77,'price and cost sheet'!C:F,4,0))</f>
        <v/>
      </c>
      <c r="R77" s="184" t="str">
        <f>IF(OR(D77="",D77=""),"",VLOOKUP(D77,'price and cost sheet'!$C:$F,3,0))</f>
        <v/>
      </c>
    </row>
    <row r="78" spans="1:18" ht="24" customHeight="1">
      <c r="A78" s="151">
        <v>37</v>
      </c>
      <c r="B78" s="137"/>
      <c r="C78" s="137"/>
      <c r="D78" s="358"/>
      <c r="E78" s="359"/>
      <c r="F78" s="360"/>
      <c r="G78" s="180"/>
      <c r="H78" s="153" t="str">
        <f>IF(OR(D78="",D78=""),"",VLOOKUP(D78,'price and cost sheet'!C:F,2,0))</f>
        <v/>
      </c>
      <c r="I78" s="157" t="s">
        <v>503</v>
      </c>
      <c r="J78" s="158" t="str">
        <f t="shared" si="1"/>
        <v/>
      </c>
      <c r="K78" s="153" t="str">
        <f>IF(OR(D78="",D78=""),"",VLOOKUP(D78,'price and cost sheet'!C:F,4,0))</f>
        <v/>
      </c>
      <c r="R78" s="184" t="str">
        <f>IF(OR(D78="",D78=""),"",VLOOKUP(D78,'price and cost sheet'!$C:$F,3,0))</f>
        <v/>
      </c>
    </row>
    <row r="79" spans="1:18" ht="24" customHeight="1">
      <c r="A79" s="151">
        <v>38</v>
      </c>
      <c r="B79" s="137"/>
      <c r="C79" s="137"/>
      <c r="D79" s="358"/>
      <c r="E79" s="359"/>
      <c r="F79" s="360"/>
      <c r="G79" s="180"/>
      <c r="H79" s="153" t="str">
        <f>IF(OR(D79="",D79=""),"",VLOOKUP(D79,'price and cost sheet'!C:F,2,0))</f>
        <v/>
      </c>
      <c r="I79" s="157" t="s">
        <v>503</v>
      </c>
      <c r="J79" s="158" t="str">
        <f t="shared" si="1"/>
        <v/>
      </c>
      <c r="K79" s="153" t="str">
        <f>IF(OR(D79="",D79=""),"",VLOOKUP(D79,'price and cost sheet'!C:F,4,0))</f>
        <v/>
      </c>
      <c r="R79" s="184" t="str">
        <f>IF(OR(D79="",D79=""),"",VLOOKUP(D79,'price and cost sheet'!$C:$F,3,0))</f>
        <v/>
      </c>
    </row>
    <row r="80" spans="1:18" ht="24" customHeight="1">
      <c r="A80" s="151">
        <v>39</v>
      </c>
      <c r="B80" s="137"/>
      <c r="C80" s="137"/>
      <c r="D80" s="358"/>
      <c r="E80" s="359"/>
      <c r="F80" s="360"/>
      <c r="G80" s="180"/>
      <c r="H80" s="153" t="str">
        <f>IF(OR(D80="",D80=""),"",VLOOKUP(D80,'price and cost sheet'!C:F,2,0))</f>
        <v/>
      </c>
      <c r="I80" s="157" t="s">
        <v>503</v>
      </c>
      <c r="J80" s="158" t="str">
        <f t="shared" si="1"/>
        <v/>
      </c>
      <c r="K80" s="153" t="str">
        <f>IF(OR(D80="",D80=""),"",VLOOKUP(D80,'price and cost sheet'!C:F,4,0))</f>
        <v/>
      </c>
      <c r="R80" s="184" t="str">
        <f>IF(OR(D80="",D80=""),"",VLOOKUP(D80,'price and cost sheet'!$C:$F,3,0))</f>
        <v/>
      </c>
    </row>
    <row r="81" spans="1:20" ht="24" customHeight="1">
      <c r="A81" s="151">
        <v>40</v>
      </c>
      <c r="B81" s="137"/>
      <c r="C81" s="137"/>
      <c r="D81" s="358"/>
      <c r="E81" s="359"/>
      <c r="F81" s="360"/>
      <c r="G81" s="180"/>
      <c r="H81" s="153" t="str">
        <f>IF(OR(D81="",D81=""),"",VLOOKUP(D81,'price and cost sheet'!C:F,2,0))</f>
        <v/>
      </c>
      <c r="I81" s="157" t="s">
        <v>503</v>
      </c>
      <c r="J81" s="158" t="str">
        <f t="shared" si="1"/>
        <v/>
      </c>
      <c r="K81" s="153" t="str">
        <f>IF(OR(D81="",D81=""),"",VLOOKUP(D81,'price and cost sheet'!C:F,4,0))</f>
        <v/>
      </c>
      <c r="R81" s="184" t="str">
        <f>IF(OR(D81="",D81=""),"",VLOOKUP(D81,'price and cost sheet'!$C:$F,3,0))</f>
        <v/>
      </c>
    </row>
    <row r="82" spans="1:20" ht="24" customHeight="1">
      <c r="A82" s="167"/>
      <c r="B82" s="353" t="s">
        <v>504</v>
      </c>
      <c r="C82" s="354"/>
      <c r="D82" s="355"/>
      <c r="E82" s="356"/>
      <c r="F82" s="357"/>
      <c r="G82" s="169"/>
      <c r="H82" s="167"/>
      <c r="I82" s="167"/>
      <c r="J82" s="177">
        <f>SUM(J42:J81)*0.95</f>
        <v>0</v>
      </c>
      <c r="K82" s="153"/>
    </row>
    <row r="83" spans="1:20" ht="24" customHeight="1">
      <c r="A83" s="167"/>
      <c r="B83" s="353" t="s">
        <v>505</v>
      </c>
      <c r="C83" s="354"/>
      <c r="D83" s="355"/>
      <c r="E83" s="356"/>
      <c r="F83" s="357"/>
      <c r="G83" s="169"/>
      <c r="H83" s="167"/>
      <c r="I83" s="167"/>
      <c r="J83" s="177">
        <f>J35+J82</f>
        <v>0</v>
      </c>
      <c r="K83" s="153"/>
    </row>
    <row r="84" spans="1:20" ht="15.6">
      <c r="K84"/>
    </row>
    <row r="85" spans="1:20" ht="15.6">
      <c r="K85"/>
    </row>
    <row r="86" spans="1:20" ht="15.6">
      <c r="K86"/>
    </row>
    <row r="87" spans="1:20" ht="15.6">
      <c r="E87" s="170"/>
      <c r="F87" s="170"/>
      <c r="K87"/>
    </row>
    <row r="88" spans="1:20" ht="15.6">
      <c r="B88" s="170" t="s">
        <v>506</v>
      </c>
      <c r="C88" s="170" t="s">
        <v>507</v>
      </c>
      <c r="D88" s="170" t="s">
        <v>508</v>
      </c>
      <c r="E88" s="170" t="s">
        <v>509</v>
      </c>
      <c r="F88" s="170" t="s">
        <v>510</v>
      </c>
      <c r="G88" s="130" t="s">
        <v>511</v>
      </c>
      <c r="H88" s="130" t="s">
        <v>512</v>
      </c>
      <c r="I88" s="130" t="s">
        <v>513</v>
      </c>
      <c r="K88"/>
    </row>
    <row r="89" spans="1:20" ht="15.6">
      <c r="A89" s="170" t="s">
        <v>514</v>
      </c>
      <c r="B89" s="161">
        <f>$F$4</f>
        <v>0</v>
      </c>
      <c r="C89" s="161">
        <f>'Signatures that need to be read'!$D$6</f>
        <v>0</v>
      </c>
      <c r="D89" s="161">
        <f>$I$4</f>
        <v>0</v>
      </c>
      <c r="E89" s="171">
        <f>$B$7</f>
        <v>0</v>
      </c>
      <c r="F89" s="171">
        <f>$C$7</f>
        <v>0</v>
      </c>
      <c r="G89" s="130">
        <f>$J$83</f>
        <v>0</v>
      </c>
      <c r="H89" s="130">
        <f>$J$35</f>
        <v>0</v>
      </c>
      <c r="I89" s="130">
        <f>$J$82</f>
        <v>0</v>
      </c>
      <c r="K89"/>
    </row>
    <row r="90" spans="1:20" ht="15.6">
      <c r="A90" s="170"/>
      <c r="C90" s="161"/>
      <c r="E90" s="171"/>
      <c r="F90" s="171"/>
      <c r="K90"/>
    </row>
    <row r="91" spans="1:20" ht="64.95" customHeight="1">
      <c r="H91" s="167" t="s">
        <v>511</v>
      </c>
      <c r="I91" s="167" t="s">
        <v>512</v>
      </c>
      <c r="J91" s="167" t="s">
        <v>513</v>
      </c>
      <c r="K91" s="167" t="s">
        <v>515</v>
      </c>
      <c r="L91" s="167" t="s">
        <v>516</v>
      </c>
      <c r="M91" s="167" t="s">
        <v>517</v>
      </c>
      <c r="N91" s="167" t="s">
        <v>518</v>
      </c>
      <c r="O91" s="167" t="s">
        <v>519</v>
      </c>
      <c r="P91" s="167" t="s">
        <v>520</v>
      </c>
      <c r="Q91" s="167" t="s">
        <v>521</v>
      </c>
      <c r="R91" s="172" t="s">
        <v>522</v>
      </c>
      <c r="S91" s="167"/>
      <c r="T91" s="167"/>
    </row>
    <row r="92" spans="1:20"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</row>
    <row r="93" spans="1:20">
      <c r="A93" s="172" t="s">
        <v>514</v>
      </c>
      <c r="B93" s="167">
        <f>$F$4</f>
        <v>0</v>
      </c>
      <c r="C93" s="167">
        <f>'Signatures that need to be read'!$D$6</f>
        <v>0</v>
      </c>
      <c r="D93" s="167">
        <f>$I$4</f>
        <v>0</v>
      </c>
      <c r="E93" s="173"/>
      <c r="F93" s="167"/>
      <c r="G93" s="167"/>
      <c r="H93" s="167">
        <f t="shared" ref="H93:H102" si="2">I93+J93</f>
        <v>0</v>
      </c>
      <c r="I93" s="167">
        <f>J35</f>
        <v>0</v>
      </c>
      <c r="J93" s="167">
        <f>SUM(K93:Q93)</f>
        <v>0</v>
      </c>
      <c r="K93" s="167">
        <f t="shared" ref="K93:P93" si="3">IF(COUNTIFS($D$42:$F$81,K91)&lt;&gt;0,VLOOKUP(K91,$D$42:$K$81,7,0),0)</f>
        <v>0</v>
      </c>
      <c r="L93" s="167">
        <f t="shared" si="3"/>
        <v>0</v>
      </c>
      <c r="M93" s="167">
        <f t="shared" si="3"/>
        <v>0</v>
      </c>
      <c r="N93" s="167">
        <f t="shared" si="3"/>
        <v>0</v>
      </c>
      <c r="O93" s="167">
        <f t="shared" si="3"/>
        <v>0</v>
      </c>
      <c r="P93" s="167">
        <f t="shared" si="3"/>
        <v>0</v>
      </c>
      <c r="Q93" s="167">
        <f>SUM(J42:J81)-SUM(K93:P93)</f>
        <v>0</v>
      </c>
      <c r="R93" s="167">
        <f>SUM(J7:J34)+SUM(J42:J81)-SUM(K93:P93)</f>
        <v>0</v>
      </c>
      <c r="S93" s="167"/>
      <c r="T93" s="167"/>
    </row>
    <row r="94" spans="1:20">
      <c r="A94" s="170"/>
      <c r="E94" s="174"/>
    </row>
    <row r="95" spans="1:20" ht="19.95" customHeight="1">
      <c r="B95" s="170" t="s">
        <v>506</v>
      </c>
      <c r="C95" s="170" t="s">
        <v>507</v>
      </c>
      <c r="D95" s="170" t="s">
        <v>508</v>
      </c>
      <c r="E95" s="170" t="s">
        <v>523</v>
      </c>
      <c r="F95" s="170" t="s">
        <v>509</v>
      </c>
      <c r="G95" s="170" t="s">
        <v>510</v>
      </c>
      <c r="H95" s="130" t="s">
        <v>511</v>
      </c>
      <c r="I95" s="130" t="s">
        <v>512</v>
      </c>
      <c r="J95" s="130" t="s">
        <v>513</v>
      </c>
    </row>
    <row r="96" spans="1:20" ht="19.95" customHeight="1">
      <c r="A96" s="172" t="s">
        <v>514</v>
      </c>
      <c r="B96" s="169">
        <f t="shared" ref="B96:B102" si="4">$B$89</f>
        <v>0</v>
      </c>
      <c r="C96" s="169">
        <f t="shared" ref="C96:C102" si="5">$C$89</f>
        <v>0</v>
      </c>
      <c r="D96" s="169">
        <f t="shared" ref="D96:D102" si="6">$D$89</f>
        <v>0</v>
      </c>
      <c r="E96" s="167" t="s">
        <v>515</v>
      </c>
      <c r="F96" s="175">
        <f t="shared" ref="F96:F102" si="7">$E$89</f>
        <v>0</v>
      </c>
      <c r="G96" s="175">
        <f t="shared" ref="G96:G102" si="8">$F$89</f>
        <v>0</v>
      </c>
      <c r="H96" s="176">
        <f t="shared" si="2"/>
        <v>0</v>
      </c>
      <c r="I96" s="176">
        <v>0</v>
      </c>
      <c r="J96" s="176">
        <f>$K$93</f>
        <v>0</v>
      </c>
    </row>
    <row r="97" spans="1:10" ht="19.95" customHeight="1">
      <c r="A97" s="172" t="s">
        <v>514</v>
      </c>
      <c r="B97" s="169">
        <f t="shared" si="4"/>
        <v>0</v>
      </c>
      <c r="C97" s="169">
        <f t="shared" si="5"/>
        <v>0</v>
      </c>
      <c r="D97" s="169">
        <f t="shared" si="6"/>
        <v>0</v>
      </c>
      <c r="E97" s="167" t="s">
        <v>516</v>
      </c>
      <c r="F97" s="175">
        <f t="shared" si="7"/>
        <v>0</v>
      </c>
      <c r="G97" s="175">
        <f t="shared" si="8"/>
        <v>0</v>
      </c>
      <c r="H97" s="176">
        <f t="shared" si="2"/>
        <v>0</v>
      </c>
      <c r="I97" s="176">
        <v>0</v>
      </c>
      <c r="J97" s="176">
        <f>$L$93</f>
        <v>0</v>
      </c>
    </row>
    <row r="98" spans="1:10" ht="19.95" customHeight="1">
      <c r="A98" s="172" t="s">
        <v>514</v>
      </c>
      <c r="B98" s="169">
        <f t="shared" si="4"/>
        <v>0</v>
      </c>
      <c r="C98" s="169">
        <f t="shared" si="5"/>
        <v>0</v>
      </c>
      <c r="D98" s="169">
        <f t="shared" si="6"/>
        <v>0</v>
      </c>
      <c r="E98" s="167" t="s">
        <v>517</v>
      </c>
      <c r="F98" s="175">
        <f t="shared" si="7"/>
        <v>0</v>
      </c>
      <c r="G98" s="175">
        <f t="shared" si="8"/>
        <v>0</v>
      </c>
      <c r="H98" s="176">
        <f t="shared" si="2"/>
        <v>0</v>
      </c>
      <c r="I98" s="176">
        <v>0</v>
      </c>
      <c r="J98" s="176">
        <f>$M$93</f>
        <v>0</v>
      </c>
    </row>
    <row r="99" spans="1:10" ht="19.95" customHeight="1">
      <c r="A99" s="172" t="s">
        <v>514</v>
      </c>
      <c r="B99" s="169">
        <f t="shared" si="4"/>
        <v>0</v>
      </c>
      <c r="C99" s="169">
        <f t="shared" si="5"/>
        <v>0</v>
      </c>
      <c r="D99" s="169">
        <f t="shared" si="6"/>
        <v>0</v>
      </c>
      <c r="E99" s="167" t="s">
        <v>518</v>
      </c>
      <c r="F99" s="175">
        <f t="shared" si="7"/>
        <v>0</v>
      </c>
      <c r="G99" s="175">
        <f t="shared" si="8"/>
        <v>0</v>
      </c>
      <c r="H99" s="176">
        <f t="shared" si="2"/>
        <v>0</v>
      </c>
      <c r="I99" s="176">
        <v>0</v>
      </c>
      <c r="J99" s="176">
        <f>$N$93</f>
        <v>0</v>
      </c>
    </row>
    <row r="100" spans="1:10" ht="19.95" customHeight="1">
      <c r="A100" s="172" t="s">
        <v>514</v>
      </c>
      <c r="B100" s="169">
        <f t="shared" si="4"/>
        <v>0</v>
      </c>
      <c r="C100" s="169">
        <f t="shared" si="5"/>
        <v>0</v>
      </c>
      <c r="D100" s="169">
        <f t="shared" si="6"/>
        <v>0</v>
      </c>
      <c r="E100" s="167" t="s">
        <v>519</v>
      </c>
      <c r="F100" s="175">
        <f t="shared" si="7"/>
        <v>0</v>
      </c>
      <c r="G100" s="175">
        <f t="shared" si="8"/>
        <v>0</v>
      </c>
      <c r="H100" s="176">
        <f t="shared" si="2"/>
        <v>0</v>
      </c>
      <c r="I100" s="176">
        <v>0</v>
      </c>
      <c r="J100" s="176">
        <f>$O$93</f>
        <v>0</v>
      </c>
    </row>
    <row r="101" spans="1:10" ht="19.95" customHeight="1">
      <c r="A101" s="172" t="s">
        <v>514</v>
      </c>
      <c r="B101" s="169">
        <f t="shared" si="4"/>
        <v>0</v>
      </c>
      <c r="C101" s="169">
        <f t="shared" si="5"/>
        <v>0</v>
      </c>
      <c r="D101" s="169">
        <f t="shared" si="6"/>
        <v>0</v>
      </c>
      <c r="E101" s="167" t="s">
        <v>520</v>
      </c>
      <c r="F101" s="175">
        <f t="shared" si="7"/>
        <v>0</v>
      </c>
      <c r="G101" s="175">
        <f t="shared" si="8"/>
        <v>0</v>
      </c>
      <c r="H101" s="176">
        <f t="shared" si="2"/>
        <v>0</v>
      </c>
      <c r="I101" s="176">
        <v>0</v>
      </c>
      <c r="J101" s="176">
        <f>$P$93</f>
        <v>0</v>
      </c>
    </row>
    <row r="102" spans="1:10" ht="19.95" customHeight="1">
      <c r="A102" s="172" t="s">
        <v>514</v>
      </c>
      <c r="B102" s="169">
        <f t="shared" si="4"/>
        <v>0</v>
      </c>
      <c r="C102" s="169">
        <f t="shared" si="5"/>
        <v>0</v>
      </c>
      <c r="D102" s="169">
        <f t="shared" si="6"/>
        <v>0</v>
      </c>
      <c r="E102" s="172" t="s">
        <v>524</v>
      </c>
      <c r="F102" s="175">
        <f t="shared" si="7"/>
        <v>0</v>
      </c>
      <c r="G102" s="175">
        <f t="shared" si="8"/>
        <v>0</v>
      </c>
      <c r="H102" s="176">
        <f t="shared" si="2"/>
        <v>0</v>
      </c>
      <c r="I102" s="176">
        <f>I93</f>
        <v>0</v>
      </c>
      <c r="J102" s="176">
        <f>$Q$93</f>
        <v>0</v>
      </c>
    </row>
  </sheetData>
  <sheetProtection formatCells="0" formatColumns="0" formatRows="0"/>
  <mergeCells count="98">
    <mergeCell ref="A1:B1"/>
    <mergeCell ref="A2:J2"/>
    <mergeCell ref="A3:J3"/>
    <mergeCell ref="B4:C4"/>
    <mergeCell ref="D4:E4"/>
    <mergeCell ref="G4:H4"/>
    <mergeCell ref="I4:J4"/>
    <mergeCell ref="B5:C5"/>
    <mergeCell ref="G5:J5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2:F32"/>
    <mergeCell ref="D33:F33"/>
    <mergeCell ref="D34:F34"/>
    <mergeCell ref="B35:C35"/>
    <mergeCell ref="D35:F35"/>
    <mergeCell ref="A36:B36"/>
    <mergeCell ref="A37:J37"/>
    <mergeCell ref="A38:J38"/>
    <mergeCell ref="B39:C39"/>
    <mergeCell ref="D39:E39"/>
    <mergeCell ref="G39:H39"/>
    <mergeCell ref="I39:J39"/>
    <mergeCell ref="B40:C40"/>
    <mergeCell ref="G40:J40"/>
    <mergeCell ref="D42:F42"/>
    <mergeCell ref="D43:F43"/>
    <mergeCell ref="D44:F44"/>
    <mergeCell ref="D45:F45"/>
    <mergeCell ref="D46:F46"/>
    <mergeCell ref="D47:F47"/>
    <mergeCell ref="D48:F48"/>
    <mergeCell ref="D49:F49"/>
    <mergeCell ref="D50:F50"/>
    <mergeCell ref="D51:F51"/>
    <mergeCell ref="D59:F59"/>
    <mergeCell ref="D60:F60"/>
    <mergeCell ref="D61:F61"/>
    <mergeCell ref="D52:F52"/>
    <mergeCell ref="D53:F53"/>
    <mergeCell ref="D54:F54"/>
    <mergeCell ref="D55:F55"/>
    <mergeCell ref="D56:F56"/>
    <mergeCell ref="B83:C83"/>
    <mergeCell ref="D83:F83"/>
    <mergeCell ref="A5:A6"/>
    <mergeCell ref="A40:A41"/>
    <mergeCell ref="D77:F77"/>
    <mergeCell ref="D78:F78"/>
    <mergeCell ref="D79:F79"/>
    <mergeCell ref="D80:F80"/>
    <mergeCell ref="D81:F81"/>
    <mergeCell ref="D72:F72"/>
    <mergeCell ref="D73:F73"/>
    <mergeCell ref="D74:F74"/>
    <mergeCell ref="D75:F75"/>
    <mergeCell ref="D76:F76"/>
    <mergeCell ref="D67:F67"/>
    <mergeCell ref="D68:F68"/>
    <mergeCell ref="K5:K6"/>
    <mergeCell ref="K40:K41"/>
    <mergeCell ref="D5:F6"/>
    <mergeCell ref="D40:F41"/>
    <mergeCell ref="B82:C82"/>
    <mergeCell ref="D82:F82"/>
    <mergeCell ref="D69:F69"/>
    <mergeCell ref="D70:F70"/>
    <mergeCell ref="D71:F71"/>
    <mergeCell ref="D62:F62"/>
    <mergeCell ref="D63:F63"/>
    <mergeCell ref="D64:F64"/>
    <mergeCell ref="D65:F65"/>
    <mergeCell ref="D66:F66"/>
    <mergeCell ref="D57:F57"/>
    <mergeCell ref="D58:F58"/>
  </mergeCells>
  <dataValidations count="1">
    <dataValidation allowBlank="1" showInputMessage="1" showErrorMessage="1" sqref="D7:F16 D17:F26 D27:F34 D49:F61 D62:F81 D42:F45 D46:F48" xr:uid="{00000000-0002-0000-0500-000000000000}"/>
  </dataValidations>
  <printOptions horizontalCentered="1" verticalCentered="1"/>
  <pageMargins left="0.39" right="0.39" top="0.39" bottom="0.39" header="0.51" footer="0.51"/>
  <pageSetup paperSize="9" scale="63" orientation="portrait" r:id="rId1"/>
  <headerFooter alignWithMargins="0"/>
  <rowBreaks count="1" manualBreakCount="1">
    <brk id="3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indexed="10"/>
  </sheetPr>
  <dimension ref="A1:T102"/>
  <sheetViews>
    <sheetView view="pageBreakPreview" topLeftCell="A24" zoomScaleNormal="115" workbookViewId="0">
      <selection activeCell="K33" sqref="K33"/>
    </sheetView>
  </sheetViews>
  <sheetFormatPr defaultColWidth="9" defaultRowHeight="11.4"/>
  <cols>
    <col min="1" max="1" width="4.5" style="130" customWidth="1"/>
    <col min="2" max="2" width="9.5" style="130" customWidth="1"/>
    <col min="3" max="3" width="10.69921875" style="130" customWidth="1"/>
    <col min="4" max="4" width="6.09765625" style="130" customWidth="1"/>
    <col min="5" max="5" width="8.5" style="130" customWidth="1"/>
    <col min="6" max="6" width="15.19921875" style="130"/>
    <col min="7" max="7" width="9.5" style="130"/>
    <col min="8" max="8" width="7.8984375" style="130" customWidth="1"/>
    <col min="9" max="9" width="12.09765625" style="130" customWidth="1"/>
    <col min="10" max="10" width="13" style="130" customWidth="1"/>
    <col min="11" max="11" width="14.59765625" style="130" customWidth="1"/>
    <col min="12" max="17" width="9" style="130"/>
    <col min="18" max="18" width="10.59765625" style="130" hidden="1" customWidth="1"/>
    <col min="19" max="16384" width="9" style="130"/>
  </cols>
  <sheetData>
    <row r="1" spans="1:18" ht="29.25" customHeight="1">
      <c r="A1" s="373"/>
      <c r="B1" s="374"/>
      <c r="K1"/>
    </row>
    <row r="2" spans="1:18" s="128" customFormat="1" ht="20.399999999999999">
      <c r="A2" s="375" t="s">
        <v>486</v>
      </c>
      <c r="B2" s="375"/>
      <c r="C2" s="375"/>
      <c r="D2" s="375"/>
      <c r="E2" s="375"/>
      <c r="F2" s="375"/>
      <c r="G2" s="375"/>
      <c r="H2" s="375"/>
      <c r="I2" s="375"/>
      <c r="J2" s="375"/>
      <c r="K2"/>
    </row>
    <row r="3" spans="1:18" s="128" customFormat="1" ht="22.8">
      <c r="A3" s="376" t="s">
        <v>487</v>
      </c>
      <c r="B3" s="377"/>
      <c r="C3" s="377"/>
      <c r="D3" s="377"/>
      <c r="E3" s="377"/>
      <c r="F3" s="377"/>
      <c r="G3" s="377"/>
      <c r="H3" s="377"/>
      <c r="I3" s="377"/>
      <c r="J3" s="377"/>
      <c r="K3"/>
    </row>
    <row r="4" spans="1:18" ht="30" customHeight="1">
      <c r="A4" s="149" t="s">
        <v>488</v>
      </c>
      <c r="B4" s="366"/>
      <c r="C4" s="367"/>
      <c r="D4" s="368" t="s">
        <v>489</v>
      </c>
      <c r="E4" s="369"/>
      <c r="F4" s="133"/>
      <c r="G4" s="368" t="s">
        <v>490</v>
      </c>
      <c r="H4" s="369"/>
      <c r="I4" s="366"/>
      <c r="J4" s="367"/>
      <c r="K4" s="164" t="s">
        <v>491</v>
      </c>
    </row>
    <row r="5" spans="1:18" s="129" customFormat="1" ht="18.75" customHeight="1">
      <c r="A5" s="364" t="s">
        <v>492</v>
      </c>
      <c r="B5" s="347" t="s">
        <v>493</v>
      </c>
      <c r="C5" s="349"/>
      <c r="D5" s="347" t="s">
        <v>494</v>
      </c>
      <c r="E5" s="348"/>
      <c r="F5" s="349"/>
      <c r="G5" s="370" t="s">
        <v>495</v>
      </c>
      <c r="H5" s="371"/>
      <c r="I5" s="371"/>
      <c r="J5" s="372"/>
      <c r="K5" s="345" t="s">
        <v>496</v>
      </c>
    </row>
    <row r="6" spans="1:18" s="129" customFormat="1" ht="22.5" customHeight="1">
      <c r="A6" s="365"/>
      <c r="B6" s="134" t="s">
        <v>497</v>
      </c>
      <c r="C6" s="134" t="s">
        <v>498</v>
      </c>
      <c r="D6" s="350"/>
      <c r="E6" s="351"/>
      <c r="F6" s="352"/>
      <c r="G6" s="135" t="s">
        <v>499</v>
      </c>
      <c r="H6" s="135" t="s">
        <v>500</v>
      </c>
      <c r="I6" s="135" t="s">
        <v>501</v>
      </c>
      <c r="J6" s="135" t="s">
        <v>502</v>
      </c>
      <c r="K6" s="346"/>
    </row>
    <row r="7" spans="1:18" ht="21.9" customHeight="1">
      <c r="A7" s="169">
        <v>1</v>
      </c>
      <c r="B7" s="137"/>
      <c r="C7" s="137"/>
      <c r="D7" s="358"/>
      <c r="E7" s="359"/>
      <c r="F7" s="360"/>
      <c r="G7" s="138"/>
      <c r="H7" s="139" t="str">
        <f>IF(OR(D7="",D7=""),"",VLOOKUP(D7,'price and cost sheet'!B:F,3,0))</f>
        <v/>
      </c>
      <c r="I7" s="157" t="s">
        <v>503</v>
      </c>
      <c r="J7" s="158" t="str">
        <f t="shared" ref="J7:J34" si="0">IF(OR(D7="",G7=""),"",G7*I7)</f>
        <v/>
      </c>
      <c r="K7" s="153" t="str">
        <f>IF(OR(D7="",D7=""),"",VLOOKUP(D7,'price and cost sheet'!B:F,5,0))</f>
        <v/>
      </c>
      <c r="R7" s="184" t="str">
        <f>IF(OR(D7="",D7=""),"",VLOOKUP(D7,'price and cost sheet'!$B:$F,4,0))</f>
        <v/>
      </c>
    </row>
    <row r="8" spans="1:18" ht="21.9" customHeight="1">
      <c r="A8" s="169">
        <v>2</v>
      </c>
      <c r="B8" s="137"/>
      <c r="C8" s="137"/>
      <c r="D8" s="358"/>
      <c r="E8" s="359"/>
      <c r="F8" s="360"/>
      <c r="G8" s="138"/>
      <c r="H8" s="139" t="str">
        <f>IF(OR(D8="",D8=""),"",VLOOKUP(D8,'price and cost sheet'!B:F,3,0))</f>
        <v/>
      </c>
      <c r="I8" s="157" t="s">
        <v>503</v>
      </c>
      <c r="J8" s="158" t="str">
        <f t="shared" si="0"/>
        <v/>
      </c>
      <c r="K8" s="153" t="str">
        <f>IF(OR(D8="",D8=""),"",VLOOKUP(D8,'price and cost sheet'!B:F,5,0))</f>
        <v/>
      </c>
      <c r="R8" s="184" t="str">
        <f>IF(OR(D8="",D8=""),"",VLOOKUP(D8,'price and cost sheet'!$B:$F,4,0))</f>
        <v/>
      </c>
    </row>
    <row r="9" spans="1:18" ht="21.9" customHeight="1">
      <c r="A9" s="169">
        <v>3</v>
      </c>
      <c r="B9" s="137"/>
      <c r="C9" s="145"/>
      <c r="D9" s="358"/>
      <c r="E9" s="359"/>
      <c r="F9" s="360"/>
      <c r="G9" s="138"/>
      <c r="H9" s="139" t="str">
        <f>IF(OR(D9="",D9=""),"",VLOOKUP(D9,'price and cost sheet'!B:F,3,0))</f>
        <v/>
      </c>
      <c r="I9" s="157" t="s">
        <v>503</v>
      </c>
      <c r="J9" s="158" t="str">
        <f t="shared" si="0"/>
        <v/>
      </c>
      <c r="K9" s="153" t="str">
        <f>IF(OR(D9="",D9=""),"",VLOOKUP(D9,'price and cost sheet'!B:F,5,0))</f>
        <v/>
      </c>
      <c r="R9" s="184" t="str">
        <f>IF(OR(D9="",D9=""),"",VLOOKUP(D9,'price and cost sheet'!$B:$F,4,0))</f>
        <v/>
      </c>
    </row>
    <row r="10" spans="1:18" ht="21.9" customHeight="1">
      <c r="A10" s="169">
        <v>4</v>
      </c>
      <c r="B10" s="137"/>
      <c r="C10" s="145"/>
      <c r="D10" s="358"/>
      <c r="E10" s="359"/>
      <c r="F10" s="360"/>
      <c r="G10" s="138"/>
      <c r="H10" s="139" t="str">
        <f>IF(OR(D10="",D10=""),"",VLOOKUP(D10,'price and cost sheet'!B:F,3,0))</f>
        <v/>
      </c>
      <c r="I10" s="157" t="s">
        <v>503</v>
      </c>
      <c r="J10" s="158" t="str">
        <f t="shared" si="0"/>
        <v/>
      </c>
      <c r="K10" s="153" t="str">
        <f>IF(OR(D10="",D10=""),"",VLOOKUP(D10,'price and cost sheet'!B:F,5,0))</f>
        <v/>
      </c>
      <c r="R10" s="184" t="str">
        <f>IF(OR(D10="",D10=""),"",VLOOKUP(D10,'price and cost sheet'!$B:$F,4,0))</f>
        <v/>
      </c>
    </row>
    <row r="11" spans="1:18" ht="21.9" customHeight="1">
      <c r="A11" s="169">
        <v>5</v>
      </c>
      <c r="B11" s="137"/>
      <c r="C11" s="145"/>
      <c r="D11" s="358"/>
      <c r="E11" s="359"/>
      <c r="F11" s="360"/>
      <c r="G11" s="138"/>
      <c r="H11" s="139" t="str">
        <f>IF(OR(D11="",D11=""),"",VLOOKUP(D11,'price and cost sheet'!B:F,3,0))</f>
        <v/>
      </c>
      <c r="I11" s="157" t="s">
        <v>503</v>
      </c>
      <c r="J11" s="158" t="str">
        <f t="shared" si="0"/>
        <v/>
      </c>
      <c r="K11" s="153" t="str">
        <f>IF(OR(D11="",D11=""),"",VLOOKUP(D11,'price and cost sheet'!B:F,5,0))</f>
        <v/>
      </c>
      <c r="N11" s="161"/>
      <c r="O11" s="161"/>
      <c r="R11" s="184" t="str">
        <f>IF(OR(D11="",D11=""),"",VLOOKUP(D11,'price and cost sheet'!$B:$F,4,0))</f>
        <v/>
      </c>
    </row>
    <row r="12" spans="1:18" ht="21.9" customHeight="1">
      <c r="A12" s="169">
        <v>6</v>
      </c>
      <c r="B12" s="140"/>
      <c r="C12" s="178"/>
      <c r="D12" s="358"/>
      <c r="E12" s="359"/>
      <c r="F12" s="360"/>
      <c r="G12" s="138"/>
      <c r="H12" s="139" t="str">
        <f>IF(OR(D12="",D12=""),"",VLOOKUP(D12,'price and cost sheet'!B:F,3,0))</f>
        <v/>
      </c>
      <c r="I12" s="157" t="s">
        <v>503</v>
      </c>
      <c r="J12" s="158" t="str">
        <f t="shared" si="0"/>
        <v/>
      </c>
      <c r="K12" s="153" t="str">
        <f>IF(OR(D12="",D12=""),"",VLOOKUP(D12,'price and cost sheet'!B:F,5,0))</f>
        <v/>
      </c>
      <c r="N12" s="183"/>
      <c r="O12" s="161"/>
      <c r="R12" s="184" t="str">
        <f>IF(OR(D12="",D12=""),"",VLOOKUP(D12,'price and cost sheet'!$B:$F,4,0))</f>
        <v/>
      </c>
    </row>
    <row r="13" spans="1:18" ht="21.9" customHeight="1">
      <c r="A13" s="169">
        <v>7</v>
      </c>
      <c r="B13" s="140"/>
      <c r="C13" s="178"/>
      <c r="D13" s="358"/>
      <c r="E13" s="359"/>
      <c r="F13" s="360"/>
      <c r="G13" s="138"/>
      <c r="H13" s="139" t="str">
        <f>IF(OR(D13="",D13=""),"",VLOOKUP(D13,'price and cost sheet'!B:F,3,0))</f>
        <v/>
      </c>
      <c r="I13" s="157" t="s">
        <v>503</v>
      </c>
      <c r="J13" s="158" t="str">
        <f t="shared" si="0"/>
        <v/>
      </c>
      <c r="K13" s="153" t="str">
        <f>IF(OR(D13="",D13=""),"",VLOOKUP(D13,'price and cost sheet'!B:F,5,0))</f>
        <v/>
      </c>
      <c r="N13" s="161"/>
      <c r="O13" s="161"/>
      <c r="R13" s="184" t="str">
        <f>IF(OR(D13="",D13=""),"",VLOOKUP(D13,'price and cost sheet'!$B:$F,4,0))</f>
        <v/>
      </c>
    </row>
    <row r="14" spans="1:18" ht="21.9" customHeight="1">
      <c r="A14" s="169">
        <v>8</v>
      </c>
      <c r="B14" s="137"/>
      <c r="C14" s="145"/>
      <c r="D14" s="358"/>
      <c r="E14" s="359"/>
      <c r="F14" s="360"/>
      <c r="G14" s="166"/>
      <c r="H14" s="139" t="str">
        <f>IF(OR(D14="",D14=""),"",VLOOKUP(D14,'price and cost sheet'!B:F,3,0))</f>
        <v/>
      </c>
      <c r="I14" s="157" t="s">
        <v>503</v>
      </c>
      <c r="J14" s="158" t="str">
        <f t="shared" si="0"/>
        <v/>
      </c>
      <c r="K14" s="153" t="str">
        <f>IF(OR(D14="",D14=""),"",VLOOKUP(D14,'price and cost sheet'!B:F,5,0))</f>
        <v/>
      </c>
      <c r="N14" s="161"/>
      <c r="O14" s="161"/>
      <c r="R14" s="184" t="str">
        <f>IF(OR(D14="",D14=""),"",VLOOKUP(D14,'price and cost sheet'!$B:$F,4,0))</f>
        <v/>
      </c>
    </row>
    <row r="15" spans="1:18" ht="21.9" customHeight="1">
      <c r="A15" s="169">
        <v>9</v>
      </c>
      <c r="B15" s="137"/>
      <c r="C15" s="145"/>
      <c r="D15" s="358"/>
      <c r="E15" s="359"/>
      <c r="F15" s="360"/>
      <c r="G15" s="166"/>
      <c r="H15" s="139" t="str">
        <f>IF(OR(D15="",D15=""),"",VLOOKUP(D15,'price and cost sheet'!B:F,3,0))</f>
        <v/>
      </c>
      <c r="I15" s="157" t="s">
        <v>503</v>
      </c>
      <c r="J15" s="158" t="str">
        <f t="shared" si="0"/>
        <v/>
      </c>
      <c r="K15" s="153" t="str">
        <f>IF(OR(D15="",D15=""),"",VLOOKUP(D15,'price and cost sheet'!B:F,5,0))</f>
        <v/>
      </c>
      <c r="R15" s="184" t="str">
        <f>IF(OR(D15="",D15=""),"",VLOOKUP(D15,'price and cost sheet'!$B:$F,4,0))</f>
        <v/>
      </c>
    </row>
    <row r="16" spans="1:18" ht="21.9" customHeight="1">
      <c r="A16" s="169">
        <v>10</v>
      </c>
      <c r="B16" s="137"/>
      <c r="C16" s="145"/>
      <c r="D16" s="358"/>
      <c r="E16" s="359"/>
      <c r="F16" s="360"/>
      <c r="G16" s="138"/>
      <c r="H16" s="139" t="str">
        <f>IF(OR(D16="",D16=""),"",VLOOKUP(D16,'price and cost sheet'!B:F,3,0))</f>
        <v/>
      </c>
      <c r="I16" s="157" t="s">
        <v>503</v>
      </c>
      <c r="J16" s="158" t="str">
        <f t="shared" si="0"/>
        <v/>
      </c>
      <c r="K16" s="153" t="str">
        <f>IF(OR(D16="",D16=""),"",VLOOKUP(D16,'price and cost sheet'!B:F,5,0))</f>
        <v/>
      </c>
      <c r="R16" s="184" t="str">
        <f>IF(OR(D16="",D16=""),"",VLOOKUP(D16,'price and cost sheet'!$B:$F,4,0))</f>
        <v/>
      </c>
    </row>
    <row r="17" spans="1:18" ht="21.9" customHeight="1">
      <c r="A17" s="169">
        <v>11</v>
      </c>
      <c r="B17" s="141"/>
      <c r="C17" s="142"/>
      <c r="D17" s="358"/>
      <c r="E17" s="359"/>
      <c r="F17" s="360"/>
      <c r="G17" s="138"/>
      <c r="H17" s="139" t="str">
        <f>IF(OR(D17="",D17=""),"",VLOOKUP(D17,'price and cost sheet'!B:F,3,0))</f>
        <v/>
      </c>
      <c r="I17" s="157" t="s">
        <v>503</v>
      </c>
      <c r="J17" s="158" t="str">
        <f t="shared" si="0"/>
        <v/>
      </c>
      <c r="K17" s="153" t="str">
        <f>IF(OR(D17="",D17=""),"",VLOOKUP(D17,'price and cost sheet'!B:F,5,0))</f>
        <v/>
      </c>
      <c r="R17" s="184" t="str">
        <f>IF(OR(D17="",D17=""),"",VLOOKUP(D17,'price and cost sheet'!$B:$F,4,0))</f>
        <v/>
      </c>
    </row>
    <row r="18" spans="1:18" ht="21.9" customHeight="1">
      <c r="A18" s="169">
        <v>12</v>
      </c>
      <c r="B18" s="141"/>
      <c r="C18" s="142"/>
      <c r="D18" s="358"/>
      <c r="E18" s="359"/>
      <c r="F18" s="360"/>
      <c r="G18" s="138"/>
      <c r="H18" s="139" t="str">
        <f>IF(OR(D18="",D18=""),"",VLOOKUP(D18,'price and cost sheet'!B:F,3,0))</f>
        <v/>
      </c>
      <c r="I18" s="157" t="s">
        <v>503</v>
      </c>
      <c r="J18" s="158" t="str">
        <f t="shared" si="0"/>
        <v/>
      </c>
      <c r="K18" s="153" t="str">
        <f>IF(OR(D18="",D18=""),"",VLOOKUP(D18,'price and cost sheet'!B:F,5,0))</f>
        <v/>
      </c>
      <c r="R18" s="184" t="str">
        <f>IF(OR(D18="",D18=""),"",VLOOKUP(D18,'price and cost sheet'!$B:$F,4,0))</f>
        <v/>
      </c>
    </row>
    <row r="19" spans="1:18" ht="21.9" customHeight="1">
      <c r="A19" s="169">
        <v>13</v>
      </c>
      <c r="B19" s="141"/>
      <c r="C19" s="142"/>
      <c r="D19" s="358"/>
      <c r="E19" s="359"/>
      <c r="F19" s="360"/>
      <c r="G19" s="138"/>
      <c r="H19" s="139" t="str">
        <f>IF(OR(D19="",D19=""),"",VLOOKUP(D19,'price and cost sheet'!B:F,3,0))</f>
        <v/>
      </c>
      <c r="I19" s="157" t="s">
        <v>503</v>
      </c>
      <c r="J19" s="158" t="str">
        <f t="shared" si="0"/>
        <v/>
      </c>
      <c r="K19" s="153" t="str">
        <f>IF(OR(D19="",D19=""),"",VLOOKUP(D19,'price and cost sheet'!B:F,5,0))</f>
        <v/>
      </c>
      <c r="R19" s="184" t="str">
        <f>IF(OR(D19="",D19=""),"",VLOOKUP(D19,'price and cost sheet'!$B:$F,4,0))</f>
        <v/>
      </c>
    </row>
    <row r="20" spans="1:18" ht="21.9" customHeight="1">
      <c r="A20" s="169">
        <v>14</v>
      </c>
      <c r="B20" s="141"/>
      <c r="C20" s="142"/>
      <c r="D20" s="358"/>
      <c r="E20" s="359"/>
      <c r="F20" s="360"/>
      <c r="G20" s="138"/>
      <c r="H20" s="139" t="str">
        <f>IF(OR(D20="",D20=""),"",VLOOKUP(D20,'price and cost sheet'!B:F,3,0))</f>
        <v/>
      </c>
      <c r="I20" s="157" t="s">
        <v>503</v>
      </c>
      <c r="J20" s="158" t="str">
        <f t="shared" si="0"/>
        <v/>
      </c>
      <c r="K20" s="153" t="str">
        <f>IF(OR(D20="",D20=""),"",VLOOKUP(D20,'price and cost sheet'!B:F,5,0))</f>
        <v/>
      </c>
      <c r="R20" s="184" t="str">
        <f>IF(OR(D20="",D20=""),"",VLOOKUP(D20,'price and cost sheet'!$B:$F,4,0))</f>
        <v/>
      </c>
    </row>
    <row r="21" spans="1:18" ht="21.9" customHeight="1">
      <c r="A21" s="169">
        <v>15</v>
      </c>
      <c r="B21" s="179"/>
      <c r="C21" s="142"/>
      <c r="D21" s="358"/>
      <c r="E21" s="359"/>
      <c r="F21" s="360"/>
      <c r="G21" s="138"/>
      <c r="H21" s="139" t="str">
        <f>IF(OR(D21="",D21=""),"",VLOOKUP(D21,'price and cost sheet'!B:F,3,0))</f>
        <v/>
      </c>
      <c r="I21" s="157" t="s">
        <v>503</v>
      </c>
      <c r="J21" s="158" t="str">
        <f t="shared" si="0"/>
        <v/>
      </c>
      <c r="K21" s="153" t="str">
        <f>IF(OR(D21="",D21=""),"",VLOOKUP(D21,'price and cost sheet'!B:F,5,0))</f>
        <v/>
      </c>
      <c r="R21" s="184" t="str">
        <f>IF(OR(D21="",D21=""),"",VLOOKUP(D21,'price and cost sheet'!$B:$F,4,0))</f>
        <v/>
      </c>
    </row>
    <row r="22" spans="1:18" ht="21.9" customHeight="1">
      <c r="A22" s="169">
        <v>16</v>
      </c>
      <c r="B22" s="179"/>
      <c r="C22" s="142"/>
      <c r="D22" s="358"/>
      <c r="E22" s="359"/>
      <c r="F22" s="360"/>
      <c r="G22" s="138"/>
      <c r="H22" s="139" t="str">
        <f>IF(OR(D22="",D22=""),"",VLOOKUP(D22,'price and cost sheet'!B:F,3,0))</f>
        <v/>
      </c>
      <c r="I22" s="157" t="s">
        <v>503</v>
      </c>
      <c r="J22" s="158" t="str">
        <f t="shared" si="0"/>
        <v/>
      </c>
      <c r="K22" s="153" t="str">
        <f>IF(OR(D22="",D22=""),"",VLOOKUP(D22,'price and cost sheet'!B:F,5,0))</f>
        <v/>
      </c>
      <c r="R22" s="184" t="str">
        <f>IF(OR(D22="",D22=""),"",VLOOKUP(D22,'price and cost sheet'!$B:$F,4,0))</f>
        <v/>
      </c>
    </row>
    <row r="23" spans="1:18" ht="21.9" customHeight="1">
      <c r="A23" s="169">
        <v>17</v>
      </c>
      <c r="B23" s="141"/>
      <c r="C23" s="142"/>
      <c r="D23" s="358"/>
      <c r="E23" s="359"/>
      <c r="F23" s="360"/>
      <c r="G23" s="180"/>
      <c r="H23" s="139" t="str">
        <f>IF(OR(D23="",D23=""),"",VLOOKUP(D23,'price and cost sheet'!B:F,3,0))</f>
        <v/>
      </c>
      <c r="I23" s="157" t="s">
        <v>503</v>
      </c>
      <c r="J23" s="158" t="str">
        <f t="shared" si="0"/>
        <v/>
      </c>
      <c r="K23" s="153" t="str">
        <f>IF(OR(D23="",D23=""),"",VLOOKUP(D23,'price and cost sheet'!B:F,5,0))</f>
        <v/>
      </c>
      <c r="R23" s="184" t="str">
        <f>IF(OR(D23="",D23=""),"",VLOOKUP(D23,'price and cost sheet'!$B:$F,4,0))</f>
        <v/>
      </c>
    </row>
    <row r="24" spans="1:18" ht="21.9" customHeight="1">
      <c r="A24" s="169">
        <v>18</v>
      </c>
      <c r="B24" s="141"/>
      <c r="C24" s="142"/>
      <c r="D24" s="358"/>
      <c r="E24" s="359"/>
      <c r="F24" s="360"/>
      <c r="G24" s="180"/>
      <c r="H24" s="139" t="str">
        <f>IF(OR(D24="",D24=""),"",VLOOKUP(D24,'price and cost sheet'!B:F,3,0))</f>
        <v/>
      </c>
      <c r="I24" s="157" t="s">
        <v>503</v>
      </c>
      <c r="J24" s="158" t="str">
        <f t="shared" si="0"/>
        <v/>
      </c>
      <c r="K24" s="153" t="str">
        <f>IF(OR(D24="",D24=""),"",VLOOKUP(D24,'price and cost sheet'!B:F,5,0))</f>
        <v/>
      </c>
      <c r="R24" s="184" t="str">
        <f>IF(OR(D24="",D24=""),"",VLOOKUP(D24,'price and cost sheet'!$B:$F,4,0))</f>
        <v/>
      </c>
    </row>
    <row r="25" spans="1:18" ht="21.9" customHeight="1">
      <c r="A25" s="169">
        <v>19</v>
      </c>
      <c r="B25" s="141"/>
      <c r="C25" s="142"/>
      <c r="D25" s="358"/>
      <c r="E25" s="359"/>
      <c r="F25" s="360"/>
      <c r="G25" s="180"/>
      <c r="H25" s="139" t="str">
        <f>IF(OR(D25="",D25=""),"",VLOOKUP(D25,'price and cost sheet'!B:F,3,0))</f>
        <v/>
      </c>
      <c r="I25" s="157" t="s">
        <v>503</v>
      </c>
      <c r="J25" s="158" t="str">
        <f t="shared" si="0"/>
        <v/>
      </c>
      <c r="K25" s="153" t="str">
        <f>IF(OR(D25="",D25=""),"",VLOOKUP(D25,'price and cost sheet'!B:F,5,0))</f>
        <v/>
      </c>
      <c r="R25" s="184" t="str">
        <f>IF(OR(D25="",D25=""),"",VLOOKUP(D25,'price and cost sheet'!$B:$F,4,0))</f>
        <v/>
      </c>
    </row>
    <row r="26" spans="1:18" ht="21.9" customHeight="1">
      <c r="A26" s="169">
        <v>20</v>
      </c>
      <c r="B26" s="141"/>
      <c r="C26" s="142"/>
      <c r="D26" s="358"/>
      <c r="E26" s="359"/>
      <c r="F26" s="360"/>
      <c r="G26" s="180"/>
      <c r="H26" s="139" t="str">
        <f>IF(OR(D26="",D26=""),"",VLOOKUP(D26,'price and cost sheet'!B:F,3,0))</f>
        <v/>
      </c>
      <c r="I26" s="157" t="s">
        <v>503</v>
      </c>
      <c r="J26" s="158" t="str">
        <f t="shared" si="0"/>
        <v/>
      </c>
      <c r="K26" s="153" t="str">
        <f>IF(OR(D26="",D26=""),"",VLOOKUP(D26,'price and cost sheet'!B:F,5,0))</f>
        <v/>
      </c>
      <c r="R26" s="184" t="str">
        <f>IF(OR(D26="",D26=""),"",VLOOKUP(D26,'price and cost sheet'!$B:$F,4,0))</f>
        <v/>
      </c>
    </row>
    <row r="27" spans="1:18" ht="21.9" customHeight="1">
      <c r="A27" s="169">
        <v>21</v>
      </c>
      <c r="B27" s="137"/>
      <c r="C27" s="145"/>
      <c r="D27" s="378"/>
      <c r="E27" s="379"/>
      <c r="F27" s="380"/>
      <c r="G27" s="181"/>
      <c r="H27" s="139" t="str">
        <f>IF(OR(D27="",D27=""),"",VLOOKUP(D27,'price and cost sheet'!B:F,3,0))</f>
        <v/>
      </c>
      <c r="I27" s="157" t="s">
        <v>503</v>
      </c>
      <c r="J27" s="158" t="str">
        <f t="shared" si="0"/>
        <v/>
      </c>
      <c r="K27" s="153" t="str">
        <f>IF(OR(D27="",D27=""),"",VLOOKUP(D27,'price and cost sheet'!B:F,5,0))</f>
        <v/>
      </c>
      <c r="R27" s="184" t="str">
        <f>IF(OR(D27="",D27=""),"",VLOOKUP(D27,'price and cost sheet'!$B:$F,4,0))</f>
        <v/>
      </c>
    </row>
    <row r="28" spans="1:18" ht="21.9" customHeight="1">
      <c r="A28" s="169">
        <v>22</v>
      </c>
      <c r="B28" s="137"/>
      <c r="C28" s="145"/>
      <c r="D28" s="378"/>
      <c r="E28" s="379"/>
      <c r="F28" s="380"/>
      <c r="G28" s="181"/>
      <c r="H28" s="139" t="str">
        <f>IF(OR(D28="",D28=""),"",VLOOKUP(D28,'price and cost sheet'!B:F,3,0))</f>
        <v/>
      </c>
      <c r="I28" s="157" t="s">
        <v>503</v>
      </c>
      <c r="J28" s="158" t="str">
        <f t="shared" si="0"/>
        <v/>
      </c>
      <c r="K28" s="153" t="str">
        <f>IF(OR(D28="",D28=""),"",VLOOKUP(D28,'price and cost sheet'!B:F,5,0))</f>
        <v/>
      </c>
      <c r="R28" s="184" t="str">
        <f>IF(OR(D28="",D28=""),"",VLOOKUP(D28,'price and cost sheet'!$B:$F,4,0))</f>
        <v/>
      </c>
    </row>
    <row r="29" spans="1:18" ht="21.9" customHeight="1">
      <c r="A29" s="169">
        <v>23</v>
      </c>
      <c r="B29" s="137"/>
      <c r="C29" s="145"/>
      <c r="D29" s="378"/>
      <c r="E29" s="379"/>
      <c r="F29" s="380"/>
      <c r="G29" s="181"/>
      <c r="H29" s="139" t="str">
        <f>IF(OR(D29="",D29=""),"",VLOOKUP(D29,'price and cost sheet'!B:F,3,0))</f>
        <v/>
      </c>
      <c r="I29" s="157" t="s">
        <v>503</v>
      </c>
      <c r="J29" s="158" t="str">
        <f t="shared" si="0"/>
        <v/>
      </c>
      <c r="K29" s="153" t="str">
        <f>IF(OR(D29="",D29=""),"",VLOOKUP(D29,'price and cost sheet'!B:F,5,0))</f>
        <v/>
      </c>
      <c r="R29" s="184" t="str">
        <f>IF(OR(D29="",D29=""),"",VLOOKUP(D29,'price and cost sheet'!$B:$F,4,0))</f>
        <v/>
      </c>
    </row>
    <row r="30" spans="1:18" ht="21.9" customHeight="1">
      <c r="A30" s="169">
        <v>24</v>
      </c>
      <c r="B30" s="137"/>
      <c r="C30" s="145"/>
      <c r="D30" s="378"/>
      <c r="E30" s="379"/>
      <c r="F30" s="380"/>
      <c r="G30" s="181"/>
      <c r="H30" s="139" t="str">
        <f>IF(OR(D30="",D30=""),"",VLOOKUP(D30,'price and cost sheet'!B:F,3,0))</f>
        <v/>
      </c>
      <c r="I30" s="157" t="s">
        <v>503</v>
      </c>
      <c r="J30" s="158" t="str">
        <f t="shared" si="0"/>
        <v/>
      </c>
      <c r="K30" s="153" t="str">
        <f>IF(OR(D30="",D30=""),"",VLOOKUP(D30,'price and cost sheet'!B:F,5,0))</f>
        <v/>
      </c>
      <c r="R30" s="184" t="str">
        <f>IF(OR(D30="",D30=""),"",VLOOKUP(D30,'price and cost sheet'!$B:$F,4,0))</f>
        <v/>
      </c>
    </row>
    <row r="31" spans="1:18" ht="21.9" customHeight="1">
      <c r="A31" s="169">
        <v>25</v>
      </c>
      <c r="B31" s="137"/>
      <c r="C31" s="145"/>
      <c r="D31" s="378"/>
      <c r="E31" s="379"/>
      <c r="F31" s="380"/>
      <c r="G31" s="181"/>
      <c r="H31" s="139" t="str">
        <f>IF(OR(D31="",D31=""),"",VLOOKUP(D31,'price and cost sheet'!B:F,3,0))</f>
        <v/>
      </c>
      <c r="I31" s="157" t="s">
        <v>503</v>
      </c>
      <c r="J31" s="158" t="str">
        <f t="shared" si="0"/>
        <v/>
      </c>
      <c r="K31" s="153" t="str">
        <f>IF(OR(D31="",D31=""),"",VLOOKUP(D31,'price and cost sheet'!B:F,5,0))</f>
        <v/>
      </c>
      <c r="R31" s="184" t="str">
        <f>IF(OR(D31="",D31=""),"",VLOOKUP(D31,'price and cost sheet'!$B:$F,4,0))</f>
        <v/>
      </c>
    </row>
    <row r="32" spans="1:18" ht="21.9" customHeight="1">
      <c r="A32" s="169">
        <v>26</v>
      </c>
      <c r="B32" s="182"/>
      <c r="C32" s="145"/>
      <c r="D32" s="378"/>
      <c r="E32" s="379"/>
      <c r="F32" s="380"/>
      <c r="G32" s="181"/>
      <c r="H32" s="139" t="str">
        <f>IF(OR(D32="",D32=""),"",VLOOKUP(D32,'price and cost sheet'!B:F,3,0))</f>
        <v/>
      </c>
      <c r="I32" s="157" t="s">
        <v>503</v>
      </c>
      <c r="J32" s="158" t="str">
        <f t="shared" si="0"/>
        <v/>
      </c>
      <c r="K32" s="153" t="str">
        <f>IF(OR(D32="",D32=""),"",VLOOKUP(D32,'price and cost sheet'!B:F,5,0))</f>
        <v/>
      </c>
      <c r="R32" s="184" t="str">
        <f>IF(OR(D32="",D32=""),"",VLOOKUP(D32,'price and cost sheet'!$B:$F,4,0))</f>
        <v/>
      </c>
    </row>
    <row r="33" spans="1:18" ht="21.9" customHeight="1">
      <c r="A33" s="169">
        <v>27</v>
      </c>
      <c r="B33" s="182"/>
      <c r="C33" s="145"/>
      <c r="D33" s="378"/>
      <c r="E33" s="379"/>
      <c r="F33" s="380"/>
      <c r="G33" s="181"/>
      <c r="H33" s="139" t="str">
        <f>IF(OR(D33="",D33=""),"",VLOOKUP(D33,'price and cost sheet'!B:F,3,0))</f>
        <v/>
      </c>
      <c r="I33" s="157" t="s">
        <v>503</v>
      </c>
      <c r="J33" s="158" t="str">
        <f t="shared" si="0"/>
        <v/>
      </c>
      <c r="K33" s="153" t="str">
        <f>IF(OR(D33="",D33=""),"",VLOOKUP(D33,'price and cost sheet'!B:F,5,0))</f>
        <v/>
      </c>
      <c r="R33" s="184" t="str">
        <f>IF(OR(D33="",D33=""),"",VLOOKUP(D33,'price and cost sheet'!$B:$F,4,0))</f>
        <v/>
      </c>
    </row>
    <row r="34" spans="1:18" ht="21.9" customHeight="1">
      <c r="A34" s="169">
        <v>28</v>
      </c>
      <c r="B34" s="182"/>
      <c r="C34" s="145"/>
      <c r="D34" s="378"/>
      <c r="E34" s="379"/>
      <c r="F34" s="380"/>
      <c r="G34" s="181"/>
      <c r="H34" s="139" t="str">
        <f>IF(OR(D34="",D34=""),"",VLOOKUP(D34,'price and cost sheet'!B:F,3,0))</f>
        <v/>
      </c>
      <c r="I34" s="157" t="s">
        <v>503</v>
      </c>
      <c r="J34" s="158" t="str">
        <f t="shared" si="0"/>
        <v/>
      </c>
      <c r="K34" s="153" t="str">
        <f>IF(OR(D34="",D34=""),"",VLOOKUP(D34,'price and cost sheet'!B:F,5,0))</f>
        <v/>
      </c>
      <c r="R34" s="184" t="str">
        <f>IF(OR(D34="",D34=""),"",VLOOKUP(D34,'price and cost sheet'!$B:$F,4,0))</f>
        <v/>
      </c>
    </row>
    <row r="35" spans="1:18" ht="24" customHeight="1">
      <c r="A35" s="167"/>
      <c r="B35" s="353" t="s">
        <v>504</v>
      </c>
      <c r="C35" s="354"/>
      <c r="D35" s="355"/>
      <c r="E35" s="356"/>
      <c r="F35" s="357"/>
      <c r="G35" s="169"/>
      <c r="H35" s="167"/>
      <c r="I35" s="167"/>
      <c r="J35" s="177">
        <f>SUM(J7:J34)*0.95</f>
        <v>0</v>
      </c>
      <c r="K35" s="153"/>
    </row>
    <row r="36" spans="1:18" ht="29.25" customHeight="1">
      <c r="A36" s="373"/>
      <c r="B36" s="374"/>
      <c r="K36"/>
    </row>
    <row r="37" spans="1:18" s="128" customFormat="1" ht="20.399999999999999">
      <c r="A37" s="375" t="s">
        <v>486</v>
      </c>
      <c r="B37" s="375"/>
      <c r="C37" s="375"/>
      <c r="D37" s="375"/>
      <c r="E37" s="375"/>
      <c r="F37" s="375"/>
      <c r="G37" s="375"/>
      <c r="H37" s="375"/>
      <c r="I37" s="375"/>
      <c r="J37" s="375"/>
      <c r="K37"/>
    </row>
    <row r="38" spans="1:18" s="128" customFormat="1" ht="22.8">
      <c r="A38" s="376" t="s">
        <v>487</v>
      </c>
      <c r="B38" s="377"/>
      <c r="C38" s="377"/>
      <c r="D38" s="377"/>
      <c r="E38" s="377"/>
      <c r="F38" s="377"/>
      <c r="G38" s="377"/>
      <c r="H38" s="377"/>
      <c r="I38" s="377"/>
      <c r="J38" s="377"/>
      <c r="K38"/>
    </row>
    <row r="39" spans="1:18" ht="30" customHeight="1">
      <c r="A39" s="149" t="s">
        <v>488</v>
      </c>
      <c r="B39" s="366"/>
      <c r="C39" s="367"/>
      <c r="D39" s="368" t="s">
        <v>489</v>
      </c>
      <c r="E39" s="369"/>
      <c r="F39" s="133"/>
      <c r="G39" s="368" t="s">
        <v>490</v>
      </c>
      <c r="H39" s="369"/>
      <c r="I39" s="366"/>
      <c r="J39" s="367"/>
      <c r="K39" s="164" t="s">
        <v>491</v>
      </c>
    </row>
    <row r="40" spans="1:18" ht="24" customHeight="1">
      <c r="A40" s="364" t="s">
        <v>492</v>
      </c>
      <c r="B40" s="347" t="s">
        <v>493</v>
      </c>
      <c r="C40" s="349"/>
      <c r="D40" s="347" t="s">
        <v>494</v>
      </c>
      <c r="E40" s="348"/>
      <c r="F40" s="349"/>
      <c r="G40" s="370" t="s">
        <v>495</v>
      </c>
      <c r="H40" s="371"/>
      <c r="I40" s="371"/>
      <c r="J40" s="372"/>
      <c r="K40" s="345" t="s">
        <v>496</v>
      </c>
    </row>
    <row r="41" spans="1:18" ht="24" customHeight="1">
      <c r="A41" s="365"/>
      <c r="B41" s="134" t="s">
        <v>497</v>
      </c>
      <c r="C41" s="134" t="s">
        <v>498</v>
      </c>
      <c r="D41" s="350"/>
      <c r="E41" s="351"/>
      <c r="F41" s="352"/>
      <c r="G41" s="135" t="s">
        <v>499</v>
      </c>
      <c r="H41" s="135" t="s">
        <v>500</v>
      </c>
      <c r="I41" s="135" t="s">
        <v>501</v>
      </c>
      <c r="J41" s="135" t="s">
        <v>502</v>
      </c>
      <c r="K41" s="346"/>
    </row>
    <row r="42" spans="1:18" ht="24" customHeight="1">
      <c r="A42" s="151">
        <v>1</v>
      </c>
      <c r="B42" s="137"/>
      <c r="C42" s="137"/>
      <c r="D42" s="361"/>
      <c r="E42" s="362"/>
      <c r="F42" s="363"/>
      <c r="G42" s="152"/>
      <c r="H42" s="153" t="str">
        <f>IF(OR(D42="",D42=""),"",VLOOKUP(D42,'price and cost sheet'!C:F,2,0))</f>
        <v/>
      </c>
      <c r="I42" s="157" t="s">
        <v>503</v>
      </c>
      <c r="J42" s="158" t="str">
        <f t="shared" ref="J42:J81" si="1">IF(OR(D42="",G42=""),"",G42*I42)</f>
        <v/>
      </c>
      <c r="K42" s="153" t="str">
        <f>IF(OR(D42="",D42=""),"",VLOOKUP(D42,'price and cost sheet'!C:F,4,0))</f>
        <v/>
      </c>
      <c r="N42" s="165"/>
      <c r="R42" s="184" t="str">
        <f>IF(OR(D42="",D42=""),"",VLOOKUP(D42,'price and cost sheet'!$C:$F,3,0))</f>
        <v/>
      </c>
    </row>
    <row r="43" spans="1:18" ht="24" customHeight="1">
      <c r="A43" s="151">
        <v>2</v>
      </c>
      <c r="B43" s="137"/>
      <c r="C43" s="137"/>
      <c r="D43" s="361"/>
      <c r="E43" s="362"/>
      <c r="F43" s="363"/>
      <c r="G43" s="152"/>
      <c r="H43" s="153" t="str">
        <f>IF(OR(D43="",D43=""),"",VLOOKUP(D43,'price and cost sheet'!C:F,2,0))</f>
        <v/>
      </c>
      <c r="I43" s="157" t="s">
        <v>503</v>
      </c>
      <c r="J43" s="158" t="str">
        <f t="shared" si="1"/>
        <v/>
      </c>
      <c r="K43" s="153" t="str">
        <f>IF(OR(D43="",D43=""),"",VLOOKUP(D43,'price and cost sheet'!C:F,4,0))</f>
        <v/>
      </c>
      <c r="N43" s="165"/>
      <c r="R43" s="184" t="str">
        <f>IF(OR(D43="",D43=""),"",VLOOKUP(D43,'price and cost sheet'!$C:$F,3,0))</f>
        <v/>
      </c>
    </row>
    <row r="44" spans="1:18" ht="24" customHeight="1">
      <c r="A44" s="151">
        <v>3</v>
      </c>
      <c r="B44" s="137"/>
      <c r="C44" s="137"/>
      <c r="D44" s="358"/>
      <c r="E44" s="359"/>
      <c r="F44" s="360"/>
      <c r="G44" s="152"/>
      <c r="H44" s="153" t="str">
        <f>IF(OR(D44="",D44=""),"",VLOOKUP(D44,'price and cost sheet'!C:F,2,0))</f>
        <v/>
      </c>
      <c r="I44" s="157" t="s">
        <v>503</v>
      </c>
      <c r="J44" s="158" t="str">
        <f t="shared" si="1"/>
        <v/>
      </c>
      <c r="K44" s="153" t="str">
        <f>IF(OR(D44="",D44=""),"",VLOOKUP(D44,'price and cost sheet'!C:F,4,0))</f>
        <v/>
      </c>
      <c r="N44" s="165"/>
      <c r="O44" s="161"/>
      <c r="R44" s="184" t="str">
        <f>IF(OR(D44="",D44=""),"",VLOOKUP(D44,'price and cost sheet'!$C:$F,3,0))</f>
        <v/>
      </c>
    </row>
    <row r="45" spans="1:18" ht="24" customHeight="1">
      <c r="A45" s="151">
        <v>4</v>
      </c>
      <c r="B45" s="137"/>
      <c r="C45" s="137"/>
      <c r="D45" s="358"/>
      <c r="E45" s="359"/>
      <c r="F45" s="360"/>
      <c r="G45" s="152"/>
      <c r="H45" s="153" t="str">
        <f>IF(OR(D45="",D45=""),"",VLOOKUP(D45,'price and cost sheet'!C:F,2,0))</f>
        <v/>
      </c>
      <c r="I45" s="157" t="s">
        <v>503</v>
      </c>
      <c r="J45" s="158" t="str">
        <f t="shared" si="1"/>
        <v/>
      </c>
      <c r="K45" s="153" t="str">
        <f>IF(OR(D45="",D45=""),"",VLOOKUP(D45,'price and cost sheet'!C:F,4,0))</f>
        <v/>
      </c>
      <c r="N45" s="165"/>
      <c r="R45" s="184" t="str">
        <f>IF(OR(D45="",D45=""),"",VLOOKUP(D45,'price and cost sheet'!$C:$F,3,0))</f>
        <v/>
      </c>
    </row>
    <row r="46" spans="1:18" ht="24" customHeight="1">
      <c r="A46" s="151">
        <v>5</v>
      </c>
      <c r="B46" s="137"/>
      <c r="C46" s="137"/>
      <c r="D46" s="361"/>
      <c r="E46" s="362"/>
      <c r="F46" s="363"/>
      <c r="G46" s="152"/>
      <c r="H46" s="153" t="str">
        <f>IF(OR(D46="",D46=""),"",VLOOKUP(D46,'price and cost sheet'!C:F,2,0))</f>
        <v/>
      </c>
      <c r="I46" s="157" t="s">
        <v>503</v>
      </c>
      <c r="J46" s="158" t="str">
        <f t="shared" si="1"/>
        <v/>
      </c>
      <c r="K46" s="153" t="str">
        <f>IF(OR(D46="",D46=""),"",VLOOKUP(D46,'price and cost sheet'!C:F,4,0))</f>
        <v/>
      </c>
      <c r="N46" s="165"/>
      <c r="R46" s="184" t="str">
        <f>IF(OR(D46="",D46=""),"",VLOOKUP(D46,'price and cost sheet'!$C:$F,3,0))</f>
        <v/>
      </c>
    </row>
    <row r="47" spans="1:18" ht="24" customHeight="1">
      <c r="A47" s="151">
        <v>6</v>
      </c>
      <c r="B47" s="137"/>
      <c r="C47" s="137"/>
      <c r="D47" s="358"/>
      <c r="E47" s="359"/>
      <c r="F47" s="360"/>
      <c r="G47" s="138"/>
      <c r="H47" s="153" t="str">
        <f>IF(OR(D47="",D47=""),"",VLOOKUP(D47,'price and cost sheet'!C:F,2,0))</f>
        <v/>
      </c>
      <c r="I47" s="157" t="s">
        <v>503</v>
      </c>
      <c r="J47" s="158" t="str">
        <f t="shared" si="1"/>
        <v/>
      </c>
      <c r="K47" s="153" t="str">
        <f>IF(OR(D47="",D47=""),"",VLOOKUP(D47,'price and cost sheet'!C:F,4,0))</f>
        <v/>
      </c>
      <c r="N47" s="165"/>
      <c r="R47" s="184" t="str">
        <f>IF(OR(D47="",D47=""),"",VLOOKUP(D47,'price and cost sheet'!$C:$F,3,0))</f>
        <v/>
      </c>
    </row>
    <row r="48" spans="1:18" ht="24" customHeight="1">
      <c r="A48" s="151">
        <v>7</v>
      </c>
      <c r="B48" s="137"/>
      <c r="C48" s="137"/>
      <c r="D48" s="358"/>
      <c r="E48" s="359"/>
      <c r="F48" s="360"/>
      <c r="G48" s="138"/>
      <c r="H48" s="153" t="str">
        <f>IF(OR(D48="",D48=""),"",VLOOKUP(D48,'price and cost sheet'!C:F,2,0))</f>
        <v/>
      </c>
      <c r="I48" s="157" t="s">
        <v>503</v>
      </c>
      <c r="J48" s="158" t="str">
        <f t="shared" si="1"/>
        <v/>
      </c>
      <c r="K48" s="153" t="str">
        <f>IF(OR(D48="",D48=""),"",VLOOKUP(D48,'price and cost sheet'!C:F,4,0))</f>
        <v/>
      </c>
      <c r="R48" s="184" t="str">
        <f>IF(OR(D48="",D48=""),"",VLOOKUP(D48,'price and cost sheet'!$C:$F,3,0))</f>
        <v/>
      </c>
    </row>
    <row r="49" spans="1:18" ht="24" customHeight="1">
      <c r="A49" s="151">
        <v>8</v>
      </c>
      <c r="B49" s="137"/>
      <c r="C49" s="137"/>
      <c r="D49" s="358"/>
      <c r="E49" s="359"/>
      <c r="F49" s="360"/>
      <c r="G49" s="138"/>
      <c r="H49" s="153" t="str">
        <f>IF(OR(D49="",D49=""),"",VLOOKUP(D49,'price and cost sheet'!C:F,2,0))</f>
        <v/>
      </c>
      <c r="I49" s="157" t="s">
        <v>503</v>
      </c>
      <c r="J49" s="158" t="str">
        <f t="shared" si="1"/>
        <v/>
      </c>
      <c r="K49" s="153" t="str">
        <f>IF(OR(D49="",D49=""),"",VLOOKUP(D49,'price and cost sheet'!C:F,4,0))</f>
        <v/>
      </c>
      <c r="R49" s="184" t="str">
        <f>IF(OR(D49="",D49=""),"",VLOOKUP(D49,'price and cost sheet'!$C:$F,3,0))</f>
        <v/>
      </c>
    </row>
    <row r="50" spans="1:18" ht="24" customHeight="1">
      <c r="A50" s="151">
        <v>9</v>
      </c>
      <c r="B50" s="137"/>
      <c r="C50" s="137"/>
      <c r="D50" s="358"/>
      <c r="E50" s="359"/>
      <c r="F50" s="360"/>
      <c r="G50" s="166"/>
      <c r="H50" s="153" t="str">
        <f>IF(OR(D50="",D50=""),"",VLOOKUP(D50,'price and cost sheet'!C:F,2,0))</f>
        <v/>
      </c>
      <c r="I50" s="157" t="s">
        <v>503</v>
      </c>
      <c r="J50" s="158" t="str">
        <f t="shared" si="1"/>
        <v/>
      </c>
      <c r="K50" s="153" t="str">
        <f>IF(OR(D50="",D50=""),"",VLOOKUP(D50,'price and cost sheet'!C:F,4,0))</f>
        <v/>
      </c>
      <c r="R50" s="184" t="str">
        <f>IF(OR(D50="",D50=""),"",VLOOKUP(D50,'price and cost sheet'!$C:$F,3,0))</f>
        <v/>
      </c>
    </row>
    <row r="51" spans="1:18" ht="24" customHeight="1">
      <c r="A51" s="151">
        <v>10</v>
      </c>
      <c r="B51" s="137"/>
      <c r="C51" s="137"/>
      <c r="D51" s="358"/>
      <c r="E51" s="359"/>
      <c r="F51" s="360"/>
      <c r="G51" s="166"/>
      <c r="H51" s="153" t="str">
        <f>IF(OR(D51="",D51=""),"",VLOOKUP(D51,'price and cost sheet'!C:F,2,0))</f>
        <v/>
      </c>
      <c r="I51" s="157" t="s">
        <v>503</v>
      </c>
      <c r="J51" s="158" t="str">
        <f t="shared" si="1"/>
        <v/>
      </c>
      <c r="K51" s="153" t="str">
        <f>IF(OR(D51="",D51=""),"",VLOOKUP(D51,'price and cost sheet'!C:F,4,0))</f>
        <v/>
      </c>
      <c r="R51" s="184" t="str">
        <f>IF(OR(D51="",D51=""),"",VLOOKUP(D51,'price and cost sheet'!$C:$F,3,0))</f>
        <v/>
      </c>
    </row>
    <row r="52" spans="1:18" ht="24" customHeight="1">
      <c r="A52" s="151">
        <v>11</v>
      </c>
      <c r="B52" s="137"/>
      <c r="C52" s="137"/>
      <c r="D52" s="358"/>
      <c r="E52" s="359"/>
      <c r="F52" s="360"/>
      <c r="G52" s="166"/>
      <c r="H52" s="153" t="str">
        <f>IF(OR(D52="",D52=""),"",VLOOKUP(D52,'price and cost sheet'!C:F,2,0))</f>
        <v/>
      </c>
      <c r="I52" s="157" t="s">
        <v>503</v>
      </c>
      <c r="J52" s="158" t="str">
        <f t="shared" si="1"/>
        <v/>
      </c>
      <c r="K52" s="153" t="str">
        <f>IF(OR(D52="",D52=""),"",VLOOKUP(D52,'price and cost sheet'!C:F,4,0))</f>
        <v/>
      </c>
      <c r="R52" s="184" t="str">
        <f>IF(OR(D52="",D52=""),"",VLOOKUP(D52,'price and cost sheet'!$C:$F,3,0))</f>
        <v/>
      </c>
    </row>
    <row r="53" spans="1:18" ht="24" customHeight="1">
      <c r="A53" s="151">
        <v>12</v>
      </c>
      <c r="B53" s="137"/>
      <c r="C53" s="137"/>
      <c r="D53" s="358"/>
      <c r="E53" s="359"/>
      <c r="F53" s="360"/>
      <c r="G53" s="166"/>
      <c r="H53" s="153" t="str">
        <f>IF(OR(D53="",D53=""),"",VLOOKUP(D53,'price and cost sheet'!C:F,2,0))</f>
        <v/>
      </c>
      <c r="I53" s="157" t="s">
        <v>503</v>
      </c>
      <c r="J53" s="158" t="str">
        <f t="shared" si="1"/>
        <v/>
      </c>
      <c r="K53" s="153" t="str">
        <f>IF(OR(D53="",D53=""),"",VLOOKUP(D53,'price and cost sheet'!C:F,4,0))</f>
        <v/>
      </c>
      <c r="R53" s="184" t="str">
        <f>IF(OR(D53="",D53=""),"",VLOOKUP(D53,'price and cost sheet'!$C:$F,3,0))</f>
        <v/>
      </c>
    </row>
    <row r="54" spans="1:18" ht="24" customHeight="1">
      <c r="A54" s="151">
        <v>13</v>
      </c>
      <c r="B54" s="137"/>
      <c r="C54" s="137"/>
      <c r="D54" s="358"/>
      <c r="E54" s="359"/>
      <c r="F54" s="360"/>
      <c r="G54" s="166"/>
      <c r="H54" s="153" t="str">
        <f>IF(OR(D54="",D54=""),"",VLOOKUP(D54,'price and cost sheet'!C:F,2,0))</f>
        <v/>
      </c>
      <c r="I54" s="157" t="s">
        <v>503</v>
      </c>
      <c r="J54" s="158" t="str">
        <f t="shared" si="1"/>
        <v/>
      </c>
      <c r="K54" s="153" t="str">
        <f>IF(OR(D54="",D54=""),"",VLOOKUP(D54,'price and cost sheet'!C:F,4,0))</f>
        <v/>
      </c>
      <c r="R54" s="184" t="str">
        <f>IF(OR(D54="",D54=""),"",VLOOKUP(D54,'price and cost sheet'!$C:$F,3,0))</f>
        <v/>
      </c>
    </row>
    <row r="55" spans="1:18" ht="24" customHeight="1">
      <c r="A55" s="151">
        <v>14</v>
      </c>
      <c r="B55" s="137"/>
      <c r="C55" s="137"/>
      <c r="D55" s="358"/>
      <c r="E55" s="359"/>
      <c r="F55" s="360"/>
      <c r="G55" s="166"/>
      <c r="H55" s="153" t="str">
        <f>IF(OR(D55="",D55=""),"",VLOOKUP(D55,'price and cost sheet'!C:F,2,0))</f>
        <v/>
      </c>
      <c r="I55" s="157" t="s">
        <v>503</v>
      </c>
      <c r="J55" s="158" t="str">
        <f t="shared" si="1"/>
        <v/>
      </c>
      <c r="K55" s="153" t="str">
        <f>IF(OR(D55="",D55=""),"",VLOOKUP(D55,'price and cost sheet'!C:F,4,0))</f>
        <v/>
      </c>
      <c r="R55" s="184" t="str">
        <f>IF(OR(D55="",D55=""),"",VLOOKUP(D55,'price and cost sheet'!$C:$F,3,0))</f>
        <v/>
      </c>
    </row>
    <row r="56" spans="1:18" ht="24" customHeight="1">
      <c r="A56" s="151">
        <v>15</v>
      </c>
      <c r="B56" s="137"/>
      <c r="C56" s="137"/>
      <c r="D56" s="361"/>
      <c r="E56" s="362"/>
      <c r="F56" s="363"/>
      <c r="G56" s="166"/>
      <c r="H56" s="153" t="str">
        <f>IF(OR(D56="",D56=""),"",VLOOKUP(D56,'price and cost sheet'!C:F,2,0))</f>
        <v/>
      </c>
      <c r="I56" s="157" t="s">
        <v>503</v>
      </c>
      <c r="J56" s="158" t="str">
        <f t="shared" si="1"/>
        <v/>
      </c>
      <c r="K56" s="153" t="str">
        <f>IF(OR(D56="",D56=""),"",VLOOKUP(D56,'price and cost sheet'!C:F,4,0))</f>
        <v/>
      </c>
      <c r="R56" s="184" t="str">
        <f>IF(OR(D56="",D56=""),"",VLOOKUP(D56,'price and cost sheet'!$C:$F,3,0))</f>
        <v/>
      </c>
    </row>
    <row r="57" spans="1:18" ht="24" customHeight="1">
      <c r="A57" s="151">
        <v>16</v>
      </c>
      <c r="B57" s="137"/>
      <c r="C57" s="137"/>
      <c r="D57" s="361"/>
      <c r="E57" s="362"/>
      <c r="F57" s="363"/>
      <c r="G57" s="166"/>
      <c r="H57" s="153" t="str">
        <f>IF(OR(D57="",D57=""),"",VLOOKUP(D57,'price and cost sheet'!C:F,2,0))</f>
        <v/>
      </c>
      <c r="I57" s="157" t="s">
        <v>503</v>
      </c>
      <c r="J57" s="158" t="str">
        <f t="shared" si="1"/>
        <v/>
      </c>
      <c r="K57" s="153" t="str">
        <f>IF(OR(D57="",D57=""),"",VLOOKUP(D57,'price and cost sheet'!C:F,4,0))</f>
        <v/>
      </c>
      <c r="R57" s="184" t="str">
        <f>IF(OR(D57="",D57=""),"",VLOOKUP(D57,'price and cost sheet'!$C:$F,3,0))</f>
        <v/>
      </c>
    </row>
    <row r="58" spans="1:18" ht="24" customHeight="1">
      <c r="A58" s="151">
        <v>17</v>
      </c>
      <c r="B58" s="137"/>
      <c r="C58" s="137"/>
      <c r="D58" s="361"/>
      <c r="E58" s="362"/>
      <c r="F58" s="363"/>
      <c r="G58" s="166"/>
      <c r="H58" s="153" t="str">
        <f>IF(OR(D58="",D58=""),"",VLOOKUP(D58,'price and cost sheet'!C:F,2,0))</f>
        <v/>
      </c>
      <c r="I58" s="157" t="s">
        <v>503</v>
      </c>
      <c r="J58" s="158" t="str">
        <f t="shared" si="1"/>
        <v/>
      </c>
      <c r="K58" s="153" t="str">
        <f>IF(OR(D58="",D58=""),"",VLOOKUP(D58,'price and cost sheet'!C:F,4,0))</f>
        <v/>
      </c>
      <c r="R58" s="184" t="str">
        <f>IF(OR(D58="",D58=""),"",VLOOKUP(D58,'price and cost sheet'!$C:$F,3,0))</f>
        <v/>
      </c>
    </row>
    <row r="59" spans="1:18" ht="24" customHeight="1">
      <c r="A59" s="151">
        <v>18</v>
      </c>
      <c r="B59" s="137"/>
      <c r="C59" s="137"/>
      <c r="D59" s="361"/>
      <c r="E59" s="362"/>
      <c r="F59" s="363"/>
      <c r="G59" s="166"/>
      <c r="H59" s="153" t="str">
        <f>IF(OR(D59="",D59=""),"",VLOOKUP(D59,'price and cost sheet'!C:F,2,0))</f>
        <v/>
      </c>
      <c r="I59" s="157" t="s">
        <v>503</v>
      </c>
      <c r="J59" s="158" t="str">
        <f t="shared" si="1"/>
        <v/>
      </c>
      <c r="K59" s="153" t="str">
        <f>IF(OR(D59="",D59=""),"",VLOOKUP(D59,'price and cost sheet'!C:F,4,0))</f>
        <v/>
      </c>
      <c r="R59" s="184" t="str">
        <f>IF(OR(D59="",D59=""),"",VLOOKUP(D59,'price and cost sheet'!$C:$F,3,0))</f>
        <v/>
      </c>
    </row>
    <row r="60" spans="1:18" ht="24" customHeight="1">
      <c r="A60" s="151">
        <v>19</v>
      </c>
      <c r="B60" s="137"/>
      <c r="C60" s="137"/>
      <c r="D60" s="361"/>
      <c r="E60" s="362"/>
      <c r="F60" s="363"/>
      <c r="G60" s="166"/>
      <c r="H60" s="153" t="str">
        <f>IF(OR(D60="",D60=""),"",VLOOKUP(D60,'price and cost sheet'!C:F,2,0))</f>
        <v/>
      </c>
      <c r="I60" s="157" t="s">
        <v>503</v>
      </c>
      <c r="J60" s="158" t="str">
        <f t="shared" si="1"/>
        <v/>
      </c>
      <c r="K60" s="153" t="str">
        <f>IF(OR(D60="",D60=""),"",VLOOKUP(D60,'price and cost sheet'!C:F,4,0))</f>
        <v/>
      </c>
      <c r="R60" s="184" t="str">
        <f>IF(OR(D60="",D60=""),"",VLOOKUP(D60,'price and cost sheet'!$C:$F,3,0))</f>
        <v/>
      </c>
    </row>
    <row r="61" spans="1:18" ht="24" customHeight="1">
      <c r="A61" s="151">
        <v>20</v>
      </c>
      <c r="B61" s="137"/>
      <c r="C61" s="137"/>
      <c r="D61" s="361"/>
      <c r="E61" s="362"/>
      <c r="F61" s="363"/>
      <c r="G61" s="166"/>
      <c r="H61" s="153" t="str">
        <f>IF(OR(D61="",D61=""),"",VLOOKUP(D61,'price and cost sheet'!C:F,2,0))</f>
        <v/>
      </c>
      <c r="I61" s="157" t="s">
        <v>503</v>
      </c>
      <c r="J61" s="158" t="str">
        <f t="shared" si="1"/>
        <v/>
      </c>
      <c r="K61" s="153" t="str">
        <f>IF(OR(D61="",D61=""),"",VLOOKUP(D61,'price and cost sheet'!C:F,4,0))</f>
        <v/>
      </c>
      <c r="R61" s="184" t="str">
        <f>IF(OR(D61="",D61=""),"",VLOOKUP(D61,'price and cost sheet'!$C:$F,3,0))</f>
        <v/>
      </c>
    </row>
    <row r="62" spans="1:18" ht="24" customHeight="1">
      <c r="A62" s="151">
        <v>21</v>
      </c>
      <c r="B62" s="137"/>
      <c r="C62" s="137"/>
      <c r="D62" s="358"/>
      <c r="E62" s="359"/>
      <c r="F62" s="360"/>
      <c r="G62" s="166"/>
      <c r="H62" s="153" t="str">
        <f>IF(OR(D62="",D62=""),"",VLOOKUP(D62,'price and cost sheet'!C:F,2,0))</f>
        <v/>
      </c>
      <c r="I62" s="157" t="s">
        <v>503</v>
      </c>
      <c r="J62" s="158" t="str">
        <f t="shared" si="1"/>
        <v/>
      </c>
      <c r="K62" s="153" t="str">
        <f>IF(OR(D62="",D62=""),"",VLOOKUP(D62,'price and cost sheet'!C:F,4,0))</f>
        <v/>
      </c>
      <c r="R62" s="184" t="str">
        <f>IF(OR(D62="",D62=""),"",VLOOKUP(D62,'price and cost sheet'!$C:$F,3,0))</f>
        <v/>
      </c>
    </row>
    <row r="63" spans="1:18" ht="24" customHeight="1">
      <c r="A63" s="151">
        <v>22</v>
      </c>
      <c r="B63" s="137"/>
      <c r="C63" s="137"/>
      <c r="D63" s="358"/>
      <c r="E63" s="359"/>
      <c r="F63" s="360"/>
      <c r="G63" s="166"/>
      <c r="H63" s="153" t="str">
        <f>IF(OR(D63="",D63=""),"",VLOOKUP(D63,'price and cost sheet'!C:F,2,0))</f>
        <v/>
      </c>
      <c r="I63" s="157" t="s">
        <v>503</v>
      </c>
      <c r="J63" s="158" t="str">
        <f t="shared" si="1"/>
        <v/>
      </c>
      <c r="K63" s="153" t="str">
        <f>IF(OR(D63="",D63=""),"",VLOOKUP(D63,'price and cost sheet'!C:F,4,0))</f>
        <v/>
      </c>
      <c r="R63" s="184" t="str">
        <f>IF(OR(D63="",D63=""),"",VLOOKUP(D63,'price and cost sheet'!$C:$F,3,0))</f>
        <v/>
      </c>
    </row>
    <row r="64" spans="1:18" ht="24" customHeight="1">
      <c r="A64" s="151">
        <v>23</v>
      </c>
      <c r="B64" s="137"/>
      <c r="C64" s="137"/>
      <c r="D64" s="358"/>
      <c r="E64" s="359"/>
      <c r="F64" s="360"/>
      <c r="G64" s="166"/>
      <c r="H64" s="153" t="str">
        <f>IF(OR(D64="",D64=""),"",VLOOKUP(D64,'price and cost sheet'!C:F,2,0))</f>
        <v/>
      </c>
      <c r="I64" s="157" t="s">
        <v>503</v>
      </c>
      <c r="J64" s="158" t="str">
        <f t="shared" si="1"/>
        <v/>
      </c>
      <c r="K64" s="153" t="str">
        <f>IF(OR(D64="",D64=""),"",VLOOKUP(D64,'price and cost sheet'!C:F,4,0))</f>
        <v/>
      </c>
      <c r="R64" s="184" t="str">
        <f>IF(OR(D64="",D64=""),"",VLOOKUP(D64,'price and cost sheet'!$C:$F,3,0))</f>
        <v/>
      </c>
    </row>
    <row r="65" spans="1:18" ht="24" customHeight="1">
      <c r="A65" s="151">
        <v>24</v>
      </c>
      <c r="B65" s="137"/>
      <c r="C65" s="137"/>
      <c r="D65" s="358"/>
      <c r="E65" s="359"/>
      <c r="F65" s="360"/>
      <c r="G65" s="166"/>
      <c r="H65" s="153" t="str">
        <f>IF(OR(D65="",D65=""),"",VLOOKUP(D65,'price and cost sheet'!C:F,2,0))</f>
        <v/>
      </c>
      <c r="I65" s="157" t="s">
        <v>503</v>
      </c>
      <c r="J65" s="158" t="str">
        <f t="shared" si="1"/>
        <v/>
      </c>
      <c r="K65" s="153" t="str">
        <f>IF(OR(D65="",D65=""),"",VLOOKUP(D65,'price and cost sheet'!C:F,4,0))</f>
        <v/>
      </c>
      <c r="R65" s="184" t="str">
        <f>IF(OR(D65="",D65=""),"",VLOOKUP(D65,'price and cost sheet'!$C:$F,3,0))</f>
        <v/>
      </c>
    </row>
    <row r="66" spans="1:18" ht="24" customHeight="1">
      <c r="A66" s="151">
        <v>25</v>
      </c>
      <c r="B66" s="137"/>
      <c r="C66" s="137"/>
      <c r="D66" s="358"/>
      <c r="E66" s="359"/>
      <c r="F66" s="360"/>
      <c r="G66" s="166"/>
      <c r="H66" s="153" t="str">
        <f>IF(OR(D66="",D66=""),"",VLOOKUP(D66,'price and cost sheet'!C:F,2,0))</f>
        <v/>
      </c>
      <c r="I66" s="157" t="s">
        <v>503</v>
      </c>
      <c r="J66" s="158" t="str">
        <f t="shared" si="1"/>
        <v/>
      </c>
      <c r="K66" s="153" t="str">
        <f>IF(OR(D66="",D66=""),"",VLOOKUP(D66,'price and cost sheet'!C:F,4,0))</f>
        <v/>
      </c>
      <c r="R66" s="184" t="str">
        <f>IF(OR(D66="",D66=""),"",VLOOKUP(D66,'price and cost sheet'!$C:$F,3,0))</f>
        <v/>
      </c>
    </row>
    <row r="67" spans="1:18" ht="24" customHeight="1">
      <c r="A67" s="151">
        <v>26</v>
      </c>
      <c r="B67" s="137"/>
      <c r="C67" s="137"/>
      <c r="D67" s="358"/>
      <c r="E67" s="359"/>
      <c r="F67" s="360"/>
      <c r="G67" s="180"/>
      <c r="H67" s="153" t="str">
        <f>IF(OR(D67="",D67=""),"",VLOOKUP(D67,'price and cost sheet'!C:F,2,0))</f>
        <v/>
      </c>
      <c r="I67" s="157" t="s">
        <v>503</v>
      </c>
      <c r="J67" s="158" t="str">
        <f t="shared" si="1"/>
        <v/>
      </c>
      <c r="K67" s="153" t="str">
        <f>IF(OR(D67="",D67=""),"",VLOOKUP(D67,'price and cost sheet'!C:F,4,0))</f>
        <v/>
      </c>
      <c r="R67" s="184" t="str">
        <f>IF(OR(D67="",D67=""),"",VLOOKUP(D67,'price and cost sheet'!$C:$F,3,0))</f>
        <v/>
      </c>
    </row>
    <row r="68" spans="1:18" ht="24" customHeight="1">
      <c r="A68" s="151">
        <v>27</v>
      </c>
      <c r="B68" s="137"/>
      <c r="C68" s="137"/>
      <c r="D68" s="358"/>
      <c r="E68" s="359"/>
      <c r="F68" s="360"/>
      <c r="G68" s="180"/>
      <c r="H68" s="153" t="str">
        <f>IF(OR(D68="",D68=""),"",VLOOKUP(D68,'price and cost sheet'!C:F,2,0))</f>
        <v/>
      </c>
      <c r="I68" s="157" t="s">
        <v>503</v>
      </c>
      <c r="J68" s="158" t="str">
        <f t="shared" si="1"/>
        <v/>
      </c>
      <c r="K68" s="153" t="str">
        <f>IF(OR(D68="",D68=""),"",VLOOKUP(D68,'price and cost sheet'!C:F,4,0))</f>
        <v/>
      </c>
      <c r="R68" s="184" t="str">
        <f>IF(OR(D68="",D68=""),"",VLOOKUP(D68,'price and cost sheet'!$C:$F,3,0))</f>
        <v/>
      </c>
    </row>
    <row r="69" spans="1:18" ht="24" customHeight="1">
      <c r="A69" s="151">
        <v>28</v>
      </c>
      <c r="B69" s="137"/>
      <c r="C69" s="137"/>
      <c r="D69" s="358"/>
      <c r="E69" s="359"/>
      <c r="F69" s="360"/>
      <c r="G69" s="180"/>
      <c r="H69" s="153" t="str">
        <f>IF(OR(D69="",D69=""),"",VLOOKUP(D69,'price and cost sheet'!C:F,2,0))</f>
        <v/>
      </c>
      <c r="I69" s="157" t="s">
        <v>503</v>
      </c>
      <c r="J69" s="158" t="str">
        <f t="shared" si="1"/>
        <v/>
      </c>
      <c r="K69" s="153" t="str">
        <f>IF(OR(D69="",D69=""),"",VLOOKUP(D69,'price and cost sheet'!C:F,4,0))</f>
        <v/>
      </c>
      <c r="R69" s="184" t="str">
        <f>IF(OR(D69="",D69=""),"",VLOOKUP(D69,'price and cost sheet'!$C:$F,3,0))</f>
        <v/>
      </c>
    </row>
    <row r="70" spans="1:18" ht="24" customHeight="1">
      <c r="A70" s="151">
        <v>29</v>
      </c>
      <c r="B70" s="137"/>
      <c r="C70" s="137"/>
      <c r="D70" s="358"/>
      <c r="E70" s="359"/>
      <c r="F70" s="360"/>
      <c r="G70" s="180"/>
      <c r="H70" s="153" t="str">
        <f>IF(OR(D70="",D70=""),"",VLOOKUP(D70,'price and cost sheet'!C:F,2,0))</f>
        <v/>
      </c>
      <c r="I70" s="157" t="s">
        <v>503</v>
      </c>
      <c r="J70" s="158" t="str">
        <f t="shared" si="1"/>
        <v/>
      </c>
      <c r="K70" s="153" t="str">
        <f>IF(OR(D70="",D70=""),"",VLOOKUP(D70,'price and cost sheet'!C:F,4,0))</f>
        <v/>
      </c>
      <c r="R70" s="184" t="str">
        <f>IF(OR(D70="",D70=""),"",VLOOKUP(D70,'price and cost sheet'!$C:$F,3,0))</f>
        <v/>
      </c>
    </row>
    <row r="71" spans="1:18" ht="24" customHeight="1">
      <c r="A71" s="151">
        <v>30</v>
      </c>
      <c r="B71" s="137"/>
      <c r="C71" s="137"/>
      <c r="D71" s="358"/>
      <c r="E71" s="359"/>
      <c r="F71" s="360"/>
      <c r="G71" s="180"/>
      <c r="H71" s="153" t="str">
        <f>IF(OR(D71="",D71=""),"",VLOOKUP(D71,'price and cost sheet'!C:F,2,0))</f>
        <v/>
      </c>
      <c r="I71" s="157" t="s">
        <v>503</v>
      </c>
      <c r="J71" s="158" t="str">
        <f t="shared" si="1"/>
        <v/>
      </c>
      <c r="K71" s="153" t="str">
        <f>IF(OR(D71="",D71=""),"",VLOOKUP(D71,'price and cost sheet'!C:F,4,0))</f>
        <v/>
      </c>
      <c r="R71" s="184" t="str">
        <f>IF(OR(D71="",D71=""),"",VLOOKUP(D71,'price and cost sheet'!$C:$F,3,0))</f>
        <v/>
      </c>
    </row>
    <row r="72" spans="1:18" ht="24" customHeight="1">
      <c r="A72" s="151">
        <v>31</v>
      </c>
      <c r="B72" s="137"/>
      <c r="C72" s="137"/>
      <c r="D72" s="358"/>
      <c r="E72" s="359"/>
      <c r="F72" s="360"/>
      <c r="G72" s="180"/>
      <c r="H72" s="153" t="str">
        <f>IF(OR(D72="",D72=""),"",VLOOKUP(D72,'price and cost sheet'!C:F,2,0))</f>
        <v/>
      </c>
      <c r="I72" s="157" t="s">
        <v>503</v>
      </c>
      <c r="J72" s="158" t="str">
        <f t="shared" si="1"/>
        <v/>
      </c>
      <c r="K72" s="153" t="str">
        <f>IF(OR(D72="",D72=""),"",VLOOKUP(D72,'price and cost sheet'!C:F,4,0))</f>
        <v/>
      </c>
      <c r="R72" s="184" t="str">
        <f>IF(OR(D72="",D72=""),"",VLOOKUP(D72,'price and cost sheet'!$C:$F,3,0))</f>
        <v/>
      </c>
    </row>
    <row r="73" spans="1:18" ht="24" customHeight="1">
      <c r="A73" s="151">
        <v>32</v>
      </c>
      <c r="B73" s="137"/>
      <c r="C73" s="137"/>
      <c r="D73" s="358"/>
      <c r="E73" s="359"/>
      <c r="F73" s="360"/>
      <c r="G73" s="180"/>
      <c r="H73" s="153" t="str">
        <f>IF(OR(D73="",D73=""),"",VLOOKUP(D73,'price and cost sheet'!C:F,2,0))</f>
        <v/>
      </c>
      <c r="I73" s="157" t="s">
        <v>503</v>
      </c>
      <c r="J73" s="158" t="str">
        <f t="shared" si="1"/>
        <v/>
      </c>
      <c r="K73" s="153" t="str">
        <f>IF(OR(D73="",D73=""),"",VLOOKUP(D73,'price and cost sheet'!C:F,4,0))</f>
        <v/>
      </c>
      <c r="R73" s="184" t="str">
        <f>IF(OR(D73="",D73=""),"",VLOOKUP(D73,'price and cost sheet'!$C:$F,3,0))</f>
        <v/>
      </c>
    </row>
    <row r="74" spans="1:18" ht="24" customHeight="1">
      <c r="A74" s="151">
        <v>33</v>
      </c>
      <c r="B74" s="137"/>
      <c r="C74" s="137"/>
      <c r="D74" s="358"/>
      <c r="E74" s="359"/>
      <c r="F74" s="360"/>
      <c r="G74" s="180"/>
      <c r="H74" s="153" t="str">
        <f>IF(OR(D74="",D74=""),"",VLOOKUP(D74,'price and cost sheet'!C:F,2,0))</f>
        <v/>
      </c>
      <c r="I74" s="157" t="s">
        <v>503</v>
      </c>
      <c r="J74" s="158" t="str">
        <f t="shared" si="1"/>
        <v/>
      </c>
      <c r="K74" s="153" t="str">
        <f>IF(OR(D74="",D74=""),"",VLOOKUP(D74,'price and cost sheet'!C:F,4,0))</f>
        <v/>
      </c>
      <c r="R74" s="184" t="str">
        <f>IF(OR(D74="",D74=""),"",VLOOKUP(D74,'price and cost sheet'!$C:$F,3,0))</f>
        <v/>
      </c>
    </row>
    <row r="75" spans="1:18" ht="24" customHeight="1">
      <c r="A75" s="151">
        <v>34</v>
      </c>
      <c r="B75" s="137"/>
      <c r="C75" s="137"/>
      <c r="D75" s="358"/>
      <c r="E75" s="359"/>
      <c r="F75" s="360"/>
      <c r="G75" s="180"/>
      <c r="H75" s="153" t="str">
        <f>IF(OR(D75="",D75=""),"",VLOOKUP(D75,'price and cost sheet'!C:F,2,0))</f>
        <v/>
      </c>
      <c r="I75" s="157" t="s">
        <v>503</v>
      </c>
      <c r="J75" s="158" t="str">
        <f t="shared" si="1"/>
        <v/>
      </c>
      <c r="K75" s="153" t="str">
        <f>IF(OR(D75="",D75=""),"",VLOOKUP(D75,'price and cost sheet'!C:F,4,0))</f>
        <v/>
      </c>
      <c r="R75" s="184" t="str">
        <f>IF(OR(D75="",D75=""),"",VLOOKUP(D75,'price and cost sheet'!$C:$F,3,0))</f>
        <v/>
      </c>
    </row>
    <row r="76" spans="1:18" ht="24" customHeight="1">
      <c r="A76" s="151">
        <v>35</v>
      </c>
      <c r="B76" s="137"/>
      <c r="C76" s="137"/>
      <c r="D76" s="358"/>
      <c r="E76" s="359"/>
      <c r="F76" s="360"/>
      <c r="G76" s="180"/>
      <c r="H76" s="153" t="str">
        <f>IF(OR(D76="",D76=""),"",VLOOKUP(D76,'price and cost sheet'!C:F,2,0))</f>
        <v/>
      </c>
      <c r="I76" s="157" t="s">
        <v>503</v>
      </c>
      <c r="J76" s="158" t="str">
        <f t="shared" si="1"/>
        <v/>
      </c>
      <c r="K76" s="153" t="str">
        <f>IF(OR(D76="",D76=""),"",VLOOKUP(D76,'price and cost sheet'!C:F,4,0))</f>
        <v/>
      </c>
      <c r="R76" s="184" t="str">
        <f>IF(OR(D76="",D76=""),"",VLOOKUP(D76,'price and cost sheet'!$C:$F,3,0))</f>
        <v/>
      </c>
    </row>
    <row r="77" spans="1:18" ht="24" customHeight="1">
      <c r="A77" s="151">
        <v>36</v>
      </c>
      <c r="B77" s="137"/>
      <c r="C77" s="137"/>
      <c r="D77" s="358"/>
      <c r="E77" s="359"/>
      <c r="F77" s="360"/>
      <c r="G77" s="180"/>
      <c r="H77" s="153" t="str">
        <f>IF(OR(D77="",D77=""),"",VLOOKUP(D77,'price and cost sheet'!C:F,2,0))</f>
        <v/>
      </c>
      <c r="I77" s="157" t="s">
        <v>503</v>
      </c>
      <c r="J77" s="158" t="str">
        <f t="shared" si="1"/>
        <v/>
      </c>
      <c r="K77" s="153" t="str">
        <f>IF(OR(D77="",D77=""),"",VLOOKUP(D77,'price and cost sheet'!C:F,4,0))</f>
        <v/>
      </c>
      <c r="R77" s="184" t="str">
        <f>IF(OR(D77="",D77=""),"",VLOOKUP(D77,'price and cost sheet'!$C:$F,3,0))</f>
        <v/>
      </c>
    </row>
    <row r="78" spans="1:18" ht="24" customHeight="1">
      <c r="A78" s="151">
        <v>37</v>
      </c>
      <c r="B78" s="137"/>
      <c r="C78" s="137"/>
      <c r="D78" s="358"/>
      <c r="E78" s="359"/>
      <c r="F78" s="360"/>
      <c r="G78" s="180"/>
      <c r="H78" s="153" t="str">
        <f>IF(OR(D78="",D78=""),"",VLOOKUP(D78,'price and cost sheet'!C:F,2,0))</f>
        <v/>
      </c>
      <c r="I78" s="157" t="s">
        <v>503</v>
      </c>
      <c r="J78" s="158" t="str">
        <f t="shared" si="1"/>
        <v/>
      </c>
      <c r="K78" s="153" t="str">
        <f>IF(OR(D78="",D78=""),"",VLOOKUP(D78,'price and cost sheet'!C:F,4,0))</f>
        <v/>
      </c>
      <c r="R78" s="184" t="str">
        <f>IF(OR(D78="",D78=""),"",VLOOKUP(D78,'price and cost sheet'!$C:$F,3,0))</f>
        <v/>
      </c>
    </row>
    <row r="79" spans="1:18" ht="24" customHeight="1">
      <c r="A79" s="151">
        <v>38</v>
      </c>
      <c r="B79" s="137"/>
      <c r="C79" s="137"/>
      <c r="D79" s="358"/>
      <c r="E79" s="359"/>
      <c r="F79" s="360"/>
      <c r="G79" s="180"/>
      <c r="H79" s="153" t="str">
        <f>IF(OR(D79="",D79=""),"",VLOOKUP(D79,'price and cost sheet'!C:F,2,0))</f>
        <v/>
      </c>
      <c r="I79" s="157" t="s">
        <v>503</v>
      </c>
      <c r="J79" s="158" t="str">
        <f t="shared" si="1"/>
        <v/>
      </c>
      <c r="K79" s="153" t="str">
        <f>IF(OR(D79="",D79=""),"",VLOOKUP(D79,'price and cost sheet'!C:F,4,0))</f>
        <v/>
      </c>
      <c r="R79" s="184" t="str">
        <f>IF(OR(D79="",D79=""),"",VLOOKUP(D79,'price and cost sheet'!$C:$F,3,0))</f>
        <v/>
      </c>
    </row>
    <row r="80" spans="1:18" ht="24" customHeight="1">
      <c r="A80" s="151">
        <v>39</v>
      </c>
      <c r="B80" s="137"/>
      <c r="C80" s="137"/>
      <c r="D80" s="358"/>
      <c r="E80" s="359"/>
      <c r="F80" s="360"/>
      <c r="G80" s="180"/>
      <c r="H80" s="153" t="str">
        <f>IF(OR(D80="",D80=""),"",VLOOKUP(D80,'price and cost sheet'!C:F,2,0))</f>
        <v/>
      </c>
      <c r="I80" s="157" t="s">
        <v>503</v>
      </c>
      <c r="J80" s="158" t="str">
        <f t="shared" si="1"/>
        <v/>
      </c>
      <c r="K80" s="153" t="str">
        <f>IF(OR(D80="",D80=""),"",VLOOKUP(D80,'price and cost sheet'!C:F,4,0))</f>
        <v/>
      </c>
      <c r="R80" s="184" t="str">
        <f>IF(OR(D80="",D80=""),"",VLOOKUP(D80,'price and cost sheet'!$C:$F,3,0))</f>
        <v/>
      </c>
    </row>
    <row r="81" spans="1:20" ht="24" customHeight="1">
      <c r="A81" s="151">
        <v>40</v>
      </c>
      <c r="B81" s="137"/>
      <c r="C81" s="137"/>
      <c r="D81" s="358"/>
      <c r="E81" s="359"/>
      <c r="F81" s="360"/>
      <c r="G81" s="180"/>
      <c r="H81" s="153" t="str">
        <f>IF(OR(D81="",D81=""),"",VLOOKUP(D81,'price and cost sheet'!C:F,2,0))</f>
        <v/>
      </c>
      <c r="I81" s="157" t="s">
        <v>503</v>
      </c>
      <c r="J81" s="158" t="str">
        <f t="shared" si="1"/>
        <v/>
      </c>
      <c r="K81" s="153" t="str">
        <f>IF(OR(D81="",D81=""),"",VLOOKUP(D81,'price and cost sheet'!C:F,4,0))</f>
        <v/>
      </c>
      <c r="R81" s="184" t="str">
        <f>IF(OR(D81="",D81=""),"",VLOOKUP(D81,'price and cost sheet'!$C:$F,3,0))</f>
        <v/>
      </c>
    </row>
    <row r="82" spans="1:20" ht="24" customHeight="1">
      <c r="A82" s="167"/>
      <c r="B82" s="353" t="s">
        <v>504</v>
      </c>
      <c r="C82" s="354"/>
      <c r="D82" s="355"/>
      <c r="E82" s="356"/>
      <c r="F82" s="357"/>
      <c r="G82" s="169"/>
      <c r="H82" s="167"/>
      <c r="I82" s="167"/>
      <c r="J82" s="177">
        <f>SUM(J42:J81)*0.95</f>
        <v>0</v>
      </c>
      <c r="K82" s="153"/>
    </row>
    <row r="83" spans="1:20" ht="24" customHeight="1">
      <c r="A83" s="167"/>
      <c r="B83" s="353" t="s">
        <v>505</v>
      </c>
      <c r="C83" s="354"/>
      <c r="D83" s="355"/>
      <c r="E83" s="356"/>
      <c r="F83" s="357"/>
      <c r="G83" s="169"/>
      <c r="H83" s="167"/>
      <c r="I83" s="167"/>
      <c r="J83" s="177">
        <f>J35+J82</f>
        <v>0</v>
      </c>
      <c r="K83" s="153"/>
    </row>
    <row r="84" spans="1:20" ht="15.6">
      <c r="K84"/>
    </row>
    <row r="85" spans="1:20" ht="15.6">
      <c r="K85"/>
    </row>
    <row r="86" spans="1:20" ht="15.6">
      <c r="K86"/>
    </row>
    <row r="87" spans="1:20" ht="15.6">
      <c r="E87" s="170"/>
      <c r="F87" s="170"/>
      <c r="K87"/>
    </row>
    <row r="88" spans="1:20" ht="15.6">
      <c r="B88" s="170" t="s">
        <v>506</v>
      </c>
      <c r="C88" s="170" t="s">
        <v>507</v>
      </c>
      <c r="D88" s="170" t="s">
        <v>508</v>
      </c>
      <c r="E88" s="170" t="s">
        <v>509</v>
      </c>
      <c r="F88" s="170" t="s">
        <v>510</v>
      </c>
      <c r="G88" s="130" t="s">
        <v>511</v>
      </c>
      <c r="H88" s="130" t="s">
        <v>512</v>
      </c>
      <c r="I88" s="130" t="s">
        <v>513</v>
      </c>
      <c r="K88"/>
    </row>
    <row r="89" spans="1:20" ht="15.6">
      <c r="A89" s="170" t="s">
        <v>514</v>
      </c>
      <c r="B89" s="161">
        <f>$F$4</f>
        <v>0</v>
      </c>
      <c r="C89" s="161">
        <f>'Signatures that need to be read'!$D$6</f>
        <v>0</v>
      </c>
      <c r="D89" s="161">
        <f>$I$4</f>
        <v>0</v>
      </c>
      <c r="E89" s="171">
        <f>$B$7</f>
        <v>0</v>
      </c>
      <c r="F89" s="171">
        <f>$C$7</f>
        <v>0</v>
      </c>
      <c r="G89" s="130">
        <f>$J$83</f>
        <v>0</v>
      </c>
      <c r="H89" s="130">
        <f>$J$35</f>
        <v>0</v>
      </c>
      <c r="I89" s="130">
        <f>$J$82</f>
        <v>0</v>
      </c>
      <c r="K89"/>
    </row>
    <row r="90" spans="1:20" ht="15.6">
      <c r="A90" s="170"/>
      <c r="C90" s="161"/>
      <c r="E90" s="171"/>
      <c r="F90" s="171"/>
      <c r="K90"/>
    </row>
    <row r="91" spans="1:20" ht="64.95" customHeight="1">
      <c r="H91" s="167" t="s">
        <v>511</v>
      </c>
      <c r="I91" s="167" t="s">
        <v>512</v>
      </c>
      <c r="J91" s="167" t="s">
        <v>513</v>
      </c>
      <c r="K91" s="167" t="s">
        <v>515</v>
      </c>
      <c r="L91" s="167" t="s">
        <v>516</v>
      </c>
      <c r="M91" s="167" t="s">
        <v>517</v>
      </c>
      <c r="N91" s="167" t="s">
        <v>518</v>
      </c>
      <c r="O91" s="167" t="s">
        <v>519</v>
      </c>
      <c r="P91" s="167" t="s">
        <v>520</v>
      </c>
      <c r="Q91" s="167" t="s">
        <v>521</v>
      </c>
      <c r="R91" s="172" t="s">
        <v>522</v>
      </c>
      <c r="S91" s="167"/>
      <c r="T91" s="167"/>
    </row>
    <row r="92" spans="1:20"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</row>
    <row r="93" spans="1:20">
      <c r="A93" s="172" t="s">
        <v>514</v>
      </c>
      <c r="B93" s="167">
        <f>$F$4</f>
        <v>0</v>
      </c>
      <c r="C93" s="167">
        <f>'Signatures that need to be read'!$D$6</f>
        <v>0</v>
      </c>
      <c r="D93" s="167">
        <f>$I$4</f>
        <v>0</v>
      </c>
      <c r="E93" s="173"/>
      <c r="F93" s="167"/>
      <c r="G93" s="167"/>
      <c r="H93" s="167">
        <f t="shared" ref="H93:H102" si="2">I93+J93</f>
        <v>0</v>
      </c>
      <c r="I93" s="167">
        <f>J35</f>
        <v>0</v>
      </c>
      <c r="J93" s="167">
        <f>SUM(K93:Q93)</f>
        <v>0</v>
      </c>
      <c r="K93" s="167">
        <f t="shared" ref="K93:P93" si="3">IF(COUNTIFS($D$42:$F$81,K91)&lt;&gt;0,VLOOKUP(K91,$D$42:$K$81,7,0),0)</f>
        <v>0</v>
      </c>
      <c r="L93" s="167">
        <f t="shared" si="3"/>
        <v>0</v>
      </c>
      <c r="M93" s="167">
        <f t="shared" si="3"/>
        <v>0</v>
      </c>
      <c r="N93" s="167">
        <f t="shared" si="3"/>
        <v>0</v>
      </c>
      <c r="O93" s="167">
        <f t="shared" si="3"/>
        <v>0</v>
      </c>
      <c r="P93" s="167">
        <f t="shared" si="3"/>
        <v>0</v>
      </c>
      <c r="Q93" s="167">
        <f>SUM(J42:J81)-SUM(K93:P93)</f>
        <v>0</v>
      </c>
      <c r="R93" s="167">
        <f>SUM(J7:J34)+SUM(J42:J81)-SUM(K93:P93)</f>
        <v>0</v>
      </c>
      <c r="S93" s="167"/>
      <c r="T93" s="167"/>
    </row>
    <row r="94" spans="1:20">
      <c r="A94" s="170"/>
      <c r="E94" s="174"/>
    </row>
    <row r="95" spans="1:20" ht="19.95" customHeight="1">
      <c r="B95" s="170" t="s">
        <v>506</v>
      </c>
      <c r="C95" s="170" t="s">
        <v>507</v>
      </c>
      <c r="D95" s="170" t="s">
        <v>508</v>
      </c>
      <c r="E95" s="170" t="s">
        <v>523</v>
      </c>
      <c r="F95" s="170" t="s">
        <v>509</v>
      </c>
      <c r="G95" s="170" t="s">
        <v>510</v>
      </c>
      <c r="H95" s="130" t="s">
        <v>511</v>
      </c>
      <c r="I95" s="130" t="s">
        <v>512</v>
      </c>
      <c r="J95" s="130" t="s">
        <v>513</v>
      </c>
    </row>
    <row r="96" spans="1:20" ht="19.95" customHeight="1">
      <c r="A96" s="172" t="s">
        <v>514</v>
      </c>
      <c r="B96" s="169">
        <f t="shared" ref="B96:B102" si="4">$B$89</f>
        <v>0</v>
      </c>
      <c r="C96" s="169">
        <f t="shared" ref="C96:C102" si="5">$C$89</f>
        <v>0</v>
      </c>
      <c r="D96" s="169">
        <f t="shared" ref="D96:D102" si="6">$D$89</f>
        <v>0</v>
      </c>
      <c r="E96" s="167" t="s">
        <v>515</v>
      </c>
      <c r="F96" s="175">
        <f t="shared" ref="F96:F102" si="7">$E$89</f>
        <v>0</v>
      </c>
      <c r="G96" s="175">
        <f t="shared" ref="G96:G102" si="8">$F$89</f>
        <v>0</v>
      </c>
      <c r="H96" s="176">
        <f t="shared" si="2"/>
        <v>0</v>
      </c>
      <c r="I96" s="176">
        <v>0</v>
      </c>
      <c r="J96" s="176">
        <f>$K$93</f>
        <v>0</v>
      </c>
    </row>
    <row r="97" spans="1:10" ht="19.95" customHeight="1">
      <c r="A97" s="172" t="s">
        <v>514</v>
      </c>
      <c r="B97" s="169">
        <f t="shared" si="4"/>
        <v>0</v>
      </c>
      <c r="C97" s="169">
        <f t="shared" si="5"/>
        <v>0</v>
      </c>
      <c r="D97" s="169">
        <f t="shared" si="6"/>
        <v>0</v>
      </c>
      <c r="E97" s="167" t="s">
        <v>516</v>
      </c>
      <c r="F97" s="175">
        <f t="shared" si="7"/>
        <v>0</v>
      </c>
      <c r="G97" s="175">
        <f t="shared" si="8"/>
        <v>0</v>
      </c>
      <c r="H97" s="176">
        <f t="shared" si="2"/>
        <v>0</v>
      </c>
      <c r="I97" s="176">
        <v>0</v>
      </c>
      <c r="J97" s="176">
        <f>$L$93</f>
        <v>0</v>
      </c>
    </row>
    <row r="98" spans="1:10" ht="19.95" customHeight="1">
      <c r="A98" s="172" t="s">
        <v>514</v>
      </c>
      <c r="B98" s="169">
        <f t="shared" si="4"/>
        <v>0</v>
      </c>
      <c r="C98" s="169">
        <f t="shared" si="5"/>
        <v>0</v>
      </c>
      <c r="D98" s="169">
        <f t="shared" si="6"/>
        <v>0</v>
      </c>
      <c r="E98" s="167" t="s">
        <v>517</v>
      </c>
      <c r="F98" s="175">
        <f t="shared" si="7"/>
        <v>0</v>
      </c>
      <c r="G98" s="175">
        <f t="shared" si="8"/>
        <v>0</v>
      </c>
      <c r="H98" s="176">
        <f t="shared" si="2"/>
        <v>0</v>
      </c>
      <c r="I98" s="176">
        <v>0</v>
      </c>
      <c r="J98" s="176">
        <f>$M$93</f>
        <v>0</v>
      </c>
    </row>
    <row r="99" spans="1:10" ht="19.95" customHeight="1">
      <c r="A99" s="172" t="s">
        <v>514</v>
      </c>
      <c r="B99" s="169">
        <f t="shared" si="4"/>
        <v>0</v>
      </c>
      <c r="C99" s="169">
        <f t="shared" si="5"/>
        <v>0</v>
      </c>
      <c r="D99" s="169">
        <f t="shared" si="6"/>
        <v>0</v>
      </c>
      <c r="E99" s="167" t="s">
        <v>518</v>
      </c>
      <c r="F99" s="175">
        <f t="shared" si="7"/>
        <v>0</v>
      </c>
      <c r="G99" s="175">
        <f t="shared" si="8"/>
        <v>0</v>
      </c>
      <c r="H99" s="176">
        <f t="shared" si="2"/>
        <v>0</v>
      </c>
      <c r="I99" s="176">
        <v>0</v>
      </c>
      <c r="J99" s="176">
        <f>$N$93</f>
        <v>0</v>
      </c>
    </row>
    <row r="100" spans="1:10" ht="19.95" customHeight="1">
      <c r="A100" s="172" t="s">
        <v>514</v>
      </c>
      <c r="B100" s="169">
        <f t="shared" si="4"/>
        <v>0</v>
      </c>
      <c r="C100" s="169">
        <f t="shared" si="5"/>
        <v>0</v>
      </c>
      <c r="D100" s="169">
        <f t="shared" si="6"/>
        <v>0</v>
      </c>
      <c r="E100" s="167" t="s">
        <v>519</v>
      </c>
      <c r="F100" s="175">
        <f t="shared" si="7"/>
        <v>0</v>
      </c>
      <c r="G100" s="175">
        <f t="shared" si="8"/>
        <v>0</v>
      </c>
      <c r="H100" s="176">
        <f t="shared" si="2"/>
        <v>0</v>
      </c>
      <c r="I100" s="176">
        <v>0</v>
      </c>
      <c r="J100" s="176">
        <f>$O$93</f>
        <v>0</v>
      </c>
    </row>
    <row r="101" spans="1:10" ht="19.95" customHeight="1">
      <c r="A101" s="172" t="s">
        <v>514</v>
      </c>
      <c r="B101" s="169">
        <f t="shared" si="4"/>
        <v>0</v>
      </c>
      <c r="C101" s="169">
        <f t="shared" si="5"/>
        <v>0</v>
      </c>
      <c r="D101" s="169">
        <f t="shared" si="6"/>
        <v>0</v>
      </c>
      <c r="E101" s="167" t="s">
        <v>520</v>
      </c>
      <c r="F101" s="175">
        <f t="shared" si="7"/>
        <v>0</v>
      </c>
      <c r="G101" s="175">
        <f t="shared" si="8"/>
        <v>0</v>
      </c>
      <c r="H101" s="176">
        <f t="shared" si="2"/>
        <v>0</v>
      </c>
      <c r="I101" s="176">
        <v>0</v>
      </c>
      <c r="J101" s="176">
        <f>$P$93</f>
        <v>0</v>
      </c>
    </row>
    <row r="102" spans="1:10" ht="19.95" customHeight="1">
      <c r="A102" s="172" t="s">
        <v>514</v>
      </c>
      <c r="B102" s="169">
        <f t="shared" si="4"/>
        <v>0</v>
      </c>
      <c r="C102" s="169">
        <f t="shared" si="5"/>
        <v>0</v>
      </c>
      <c r="D102" s="169">
        <f t="shared" si="6"/>
        <v>0</v>
      </c>
      <c r="E102" s="172" t="s">
        <v>524</v>
      </c>
      <c r="F102" s="175">
        <f t="shared" si="7"/>
        <v>0</v>
      </c>
      <c r="G102" s="175">
        <f t="shared" si="8"/>
        <v>0</v>
      </c>
      <c r="H102" s="176">
        <f t="shared" si="2"/>
        <v>0</v>
      </c>
      <c r="I102" s="176">
        <f>I93</f>
        <v>0</v>
      </c>
      <c r="J102" s="176">
        <f>$Q$93</f>
        <v>0</v>
      </c>
    </row>
  </sheetData>
  <sheetProtection formatCells="0" formatColumns="0" formatRows="0"/>
  <mergeCells count="98">
    <mergeCell ref="A1:B1"/>
    <mergeCell ref="A2:J2"/>
    <mergeCell ref="A3:J3"/>
    <mergeCell ref="B4:C4"/>
    <mergeCell ref="D4:E4"/>
    <mergeCell ref="G4:H4"/>
    <mergeCell ref="I4:J4"/>
    <mergeCell ref="B5:C5"/>
    <mergeCell ref="G5:J5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2:F32"/>
    <mergeCell ref="D33:F33"/>
    <mergeCell ref="D34:F34"/>
    <mergeCell ref="B35:C35"/>
    <mergeCell ref="D35:F35"/>
    <mergeCell ref="A36:B36"/>
    <mergeCell ref="A37:J37"/>
    <mergeCell ref="A38:J38"/>
    <mergeCell ref="B39:C39"/>
    <mergeCell ref="D39:E39"/>
    <mergeCell ref="G39:H39"/>
    <mergeCell ref="I39:J39"/>
    <mergeCell ref="B40:C40"/>
    <mergeCell ref="G40:J40"/>
    <mergeCell ref="D42:F42"/>
    <mergeCell ref="D43:F43"/>
    <mergeCell ref="D44:F44"/>
    <mergeCell ref="D45:F45"/>
    <mergeCell ref="D46:F46"/>
    <mergeCell ref="D47:F47"/>
    <mergeCell ref="D48:F48"/>
    <mergeCell ref="D49:F49"/>
    <mergeCell ref="D50:F50"/>
    <mergeCell ref="D51:F51"/>
    <mergeCell ref="D59:F59"/>
    <mergeCell ref="D60:F60"/>
    <mergeCell ref="D61:F61"/>
    <mergeCell ref="D52:F52"/>
    <mergeCell ref="D53:F53"/>
    <mergeCell ref="D54:F54"/>
    <mergeCell ref="D55:F55"/>
    <mergeCell ref="D56:F56"/>
    <mergeCell ref="B83:C83"/>
    <mergeCell ref="D83:F83"/>
    <mergeCell ref="A5:A6"/>
    <mergeCell ref="A40:A41"/>
    <mergeCell ref="D77:F77"/>
    <mergeCell ref="D78:F78"/>
    <mergeCell ref="D79:F79"/>
    <mergeCell ref="D80:F80"/>
    <mergeCell ref="D81:F81"/>
    <mergeCell ref="D72:F72"/>
    <mergeCell ref="D73:F73"/>
    <mergeCell ref="D74:F74"/>
    <mergeCell ref="D75:F75"/>
    <mergeCell ref="D76:F76"/>
    <mergeCell ref="D67:F67"/>
    <mergeCell ref="D68:F68"/>
    <mergeCell ref="K5:K6"/>
    <mergeCell ref="K40:K41"/>
    <mergeCell ref="D5:F6"/>
    <mergeCell ref="D40:F41"/>
    <mergeCell ref="B82:C82"/>
    <mergeCell ref="D82:F82"/>
    <mergeCell ref="D69:F69"/>
    <mergeCell ref="D70:F70"/>
    <mergeCell ref="D71:F71"/>
    <mergeCell ref="D62:F62"/>
    <mergeCell ref="D63:F63"/>
    <mergeCell ref="D64:F64"/>
    <mergeCell ref="D65:F65"/>
    <mergeCell ref="D66:F66"/>
    <mergeCell ref="D57:F57"/>
    <mergeCell ref="D58:F58"/>
  </mergeCells>
  <dataValidations count="1">
    <dataValidation allowBlank="1" showInputMessage="1" showErrorMessage="1" sqref="D7:F16 D17:F26 D27:F34 D49:F61 D62:F81 D42:F45 D46:F48" xr:uid="{00000000-0002-0000-0600-000000000000}"/>
  </dataValidations>
  <printOptions horizontalCentered="1" verticalCentered="1"/>
  <pageMargins left="0.39" right="0.39" top="0.39" bottom="0.39" header="0.51" footer="0.51"/>
  <pageSetup paperSize="9" scale="64" orientation="portrait" r:id="rId1"/>
  <headerFooter alignWithMargins="0"/>
  <rowBreaks count="1" manualBreakCount="1">
    <brk id="35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indexed="10"/>
  </sheetPr>
  <dimension ref="A1:T102"/>
  <sheetViews>
    <sheetView view="pageBreakPreview" topLeftCell="A64" zoomScaleNormal="115" workbookViewId="0">
      <selection activeCell="K33" sqref="K33"/>
    </sheetView>
  </sheetViews>
  <sheetFormatPr defaultColWidth="9" defaultRowHeight="11.4"/>
  <cols>
    <col min="1" max="1" width="4.5" style="130" customWidth="1"/>
    <col min="2" max="2" width="9.5" style="130" customWidth="1"/>
    <col min="3" max="3" width="10.69921875" style="130" customWidth="1"/>
    <col min="4" max="4" width="6.09765625" style="130" customWidth="1"/>
    <col min="5" max="5" width="8.5" style="130" customWidth="1"/>
    <col min="6" max="6" width="15.19921875" style="130"/>
    <col min="7" max="7" width="9.5" style="130"/>
    <col min="8" max="8" width="7.8984375" style="130" customWidth="1"/>
    <col min="9" max="9" width="12.09765625" style="130" customWidth="1"/>
    <col min="10" max="10" width="13" style="130" customWidth="1"/>
    <col min="11" max="11" width="14.59765625" style="130" customWidth="1"/>
    <col min="12" max="17" width="9" style="130"/>
    <col min="18" max="18" width="10.59765625" style="130" hidden="1" customWidth="1"/>
    <col min="19" max="16384" width="9" style="130"/>
  </cols>
  <sheetData>
    <row r="1" spans="1:18" ht="29.25" customHeight="1">
      <c r="A1" s="373"/>
      <c r="B1" s="374"/>
      <c r="K1"/>
    </row>
    <row r="2" spans="1:18" s="128" customFormat="1" ht="20.399999999999999">
      <c r="A2" s="375" t="s">
        <v>486</v>
      </c>
      <c r="B2" s="375"/>
      <c r="C2" s="375"/>
      <c r="D2" s="375"/>
      <c r="E2" s="375"/>
      <c r="F2" s="375"/>
      <c r="G2" s="375"/>
      <c r="H2" s="375"/>
      <c r="I2" s="375"/>
      <c r="J2" s="375"/>
      <c r="K2"/>
    </row>
    <row r="3" spans="1:18" s="128" customFormat="1" ht="22.8">
      <c r="A3" s="376" t="s">
        <v>487</v>
      </c>
      <c r="B3" s="377"/>
      <c r="C3" s="377"/>
      <c r="D3" s="377"/>
      <c r="E3" s="377"/>
      <c r="F3" s="377"/>
      <c r="G3" s="377"/>
      <c r="H3" s="377"/>
      <c r="I3" s="377"/>
      <c r="J3" s="377"/>
      <c r="K3"/>
    </row>
    <row r="4" spans="1:18" ht="30" customHeight="1">
      <c r="A4" s="149" t="s">
        <v>488</v>
      </c>
      <c r="B4" s="366"/>
      <c r="C4" s="367"/>
      <c r="D4" s="368" t="s">
        <v>489</v>
      </c>
      <c r="E4" s="369"/>
      <c r="F4" s="133"/>
      <c r="G4" s="368" t="s">
        <v>490</v>
      </c>
      <c r="H4" s="369"/>
      <c r="I4" s="366"/>
      <c r="J4" s="367"/>
      <c r="K4" s="164" t="s">
        <v>491</v>
      </c>
    </row>
    <row r="5" spans="1:18" s="129" customFormat="1" ht="18.75" customHeight="1">
      <c r="A5" s="364" t="s">
        <v>492</v>
      </c>
      <c r="B5" s="347" t="s">
        <v>493</v>
      </c>
      <c r="C5" s="349"/>
      <c r="D5" s="347" t="s">
        <v>494</v>
      </c>
      <c r="E5" s="348"/>
      <c r="F5" s="349"/>
      <c r="G5" s="370" t="s">
        <v>495</v>
      </c>
      <c r="H5" s="371"/>
      <c r="I5" s="371"/>
      <c r="J5" s="372"/>
      <c r="K5" s="345" t="s">
        <v>496</v>
      </c>
    </row>
    <row r="6" spans="1:18" s="129" customFormat="1" ht="22.5" customHeight="1">
      <c r="A6" s="365"/>
      <c r="B6" s="134" t="s">
        <v>497</v>
      </c>
      <c r="C6" s="134" t="s">
        <v>498</v>
      </c>
      <c r="D6" s="350"/>
      <c r="E6" s="351"/>
      <c r="F6" s="352"/>
      <c r="G6" s="135" t="s">
        <v>499</v>
      </c>
      <c r="H6" s="135" t="s">
        <v>500</v>
      </c>
      <c r="I6" s="135" t="s">
        <v>501</v>
      </c>
      <c r="J6" s="135" t="s">
        <v>502</v>
      </c>
      <c r="K6" s="346"/>
    </row>
    <row r="7" spans="1:18" ht="21.9" customHeight="1">
      <c r="A7" s="169">
        <v>1</v>
      </c>
      <c r="B7" s="137"/>
      <c r="C7" s="137"/>
      <c r="D7" s="358"/>
      <c r="E7" s="359"/>
      <c r="F7" s="360"/>
      <c r="G7" s="138"/>
      <c r="H7" s="139" t="str">
        <f>IF(OR(D7="",D7=""),"",VLOOKUP(D7,'price and cost sheet'!B:F,3,0))</f>
        <v/>
      </c>
      <c r="I7" s="157" t="s">
        <v>503</v>
      </c>
      <c r="J7" s="158" t="str">
        <f t="shared" ref="J7:J34" si="0">IF(OR(D7="",G7=""),"",G7*I7)</f>
        <v/>
      </c>
      <c r="K7" s="153" t="str">
        <f>IF(OR(D7="",D7=""),"",VLOOKUP(D7,'price and cost sheet'!B:F,5,0))</f>
        <v/>
      </c>
      <c r="R7" s="184" t="str">
        <f>IF(OR(D7="",D7=""),"",VLOOKUP(D7,'price and cost sheet'!$B:$F,4,0))</f>
        <v/>
      </c>
    </row>
    <row r="8" spans="1:18" ht="21.9" customHeight="1">
      <c r="A8" s="169">
        <v>2</v>
      </c>
      <c r="B8" s="137"/>
      <c r="C8" s="137"/>
      <c r="D8" s="358"/>
      <c r="E8" s="359"/>
      <c r="F8" s="360"/>
      <c r="G8" s="138"/>
      <c r="H8" s="139" t="str">
        <f>IF(OR(D8="",D8=""),"",VLOOKUP(D8,'price and cost sheet'!B:F,3,0))</f>
        <v/>
      </c>
      <c r="I8" s="157" t="s">
        <v>503</v>
      </c>
      <c r="J8" s="158" t="str">
        <f t="shared" si="0"/>
        <v/>
      </c>
      <c r="K8" s="153" t="str">
        <f>IF(OR(D8="",D8=""),"",VLOOKUP(D8,'price and cost sheet'!B:F,5,0))</f>
        <v/>
      </c>
      <c r="R8" s="184" t="str">
        <f>IF(OR(D8="",D8=""),"",VLOOKUP(D8,'price and cost sheet'!$B:$F,4,0))</f>
        <v/>
      </c>
    </row>
    <row r="9" spans="1:18" ht="21.9" customHeight="1">
      <c r="A9" s="169">
        <v>3</v>
      </c>
      <c r="B9" s="137"/>
      <c r="C9" s="145"/>
      <c r="D9" s="358"/>
      <c r="E9" s="359"/>
      <c r="F9" s="360"/>
      <c r="G9" s="138"/>
      <c r="H9" s="139" t="str">
        <f>IF(OR(D9="",D9=""),"",VLOOKUP(D9,'price and cost sheet'!B:F,3,0))</f>
        <v/>
      </c>
      <c r="I9" s="157" t="s">
        <v>503</v>
      </c>
      <c r="J9" s="158" t="str">
        <f t="shared" si="0"/>
        <v/>
      </c>
      <c r="K9" s="153" t="str">
        <f>IF(OR(D9="",D9=""),"",VLOOKUP(D9,'price and cost sheet'!B:F,5,0))</f>
        <v/>
      </c>
      <c r="R9" s="184" t="str">
        <f>IF(OR(D9="",D9=""),"",VLOOKUP(D9,'price and cost sheet'!$B:$F,4,0))</f>
        <v/>
      </c>
    </row>
    <row r="10" spans="1:18" ht="21.9" customHeight="1">
      <c r="A10" s="169">
        <v>4</v>
      </c>
      <c r="B10" s="137"/>
      <c r="C10" s="145"/>
      <c r="D10" s="358"/>
      <c r="E10" s="359"/>
      <c r="F10" s="360"/>
      <c r="G10" s="138"/>
      <c r="H10" s="139" t="str">
        <f>IF(OR(D10="",D10=""),"",VLOOKUP(D10,'price and cost sheet'!B:F,3,0))</f>
        <v/>
      </c>
      <c r="I10" s="157" t="s">
        <v>503</v>
      </c>
      <c r="J10" s="158" t="str">
        <f t="shared" si="0"/>
        <v/>
      </c>
      <c r="K10" s="153" t="str">
        <f>IF(OR(D10="",D10=""),"",VLOOKUP(D10,'price and cost sheet'!B:F,5,0))</f>
        <v/>
      </c>
      <c r="R10" s="184" t="str">
        <f>IF(OR(D10="",D10=""),"",VLOOKUP(D10,'price and cost sheet'!$B:$F,4,0))</f>
        <v/>
      </c>
    </row>
    <row r="11" spans="1:18" ht="21.9" customHeight="1">
      <c r="A11" s="169">
        <v>5</v>
      </c>
      <c r="B11" s="137"/>
      <c r="C11" s="145"/>
      <c r="D11" s="358"/>
      <c r="E11" s="359"/>
      <c r="F11" s="360"/>
      <c r="G11" s="138"/>
      <c r="H11" s="139" t="str">
        <f>IF(OR(D11="",D11=""),"",VLOOKUP(D11,'price and cost sheet'!B:F,3,0))</f>
        <v/>
      </c>
      <c r="I11" s="157" t="s">
        <v>503</v>
      </c>
      <c r="J11" s="158" t="str">
        <f t="shared" si="0"/>
        <v/>
      </c>
      <c r="K11" s="153" t="str">
        <f>IF(OR(D11="",D11=""),"",VLOOKUP(D11,'price and cost sheet'!B:F,5,0))</f>
        <v/>
      </c>
      <c r="N11" s="161"/>
      <c r="O11" s="161"/>
      <c r="R11" s="184" t="str">
        <f>IF(OR(D11="",D11=""),"",VLOOKUP(D11,'price and cost sheet'!$B:$F,4,0))</f>
        <v/>
      </c>
    </row>
    <row r="12" spans="1:18" ht="21.9" customHeight="1">
      <c r="A12" s="169">
        <v>6</v>
      </c>
      <c r="B12" s="140"/>
      <c r="C12" s="178"/>
      <c r="D12" s="358"/>
      <c r="E12" s="359"/>
      <c r="F12" s="360"/>
      <c r="G12" s="138"/>
      <c r="H12" s="139" t="str">
        <f>IF(OR(D12="",D12=""),"",VLOOKUP(D12,'price and cost sheet'!B:F,3,0))</f>
        <v/>
      </c>
      <c r="I12" s="157" t="s">
        <v>503</v>
      </c>
      <c r="J12" s="158" t="str">
        <f t="shared" si="0"/>
        <v/>
      </c>
      <c r="K12" s="153" t="str">
        <f>IF(OR(D12="",D12=""),"",VLOOKUP(D12,'price and cost sheet'!B:F,5,0))</f>
        <v/>
      </c>
      <c r="N12" s="183"/>
      <c r="O12" s="161"/>
      <c r="R12" s="184" t="str">
        <f>IF(OR(D12="",D12=""),"",VLOOKUP(D12,'price and cost sheet'!$B:$F,4,0))</f>
        <v/>
      </c>
    </row>
    <row r="13" spans="1:18" ht="21.9" customHeight="1">
      <c r="A13" s="169">
        <v>7</v>
      </c>
      <c r="B13" s="140"/>
      <c r="C13" s="178"/>
      <c r="D13" s="358"/>
      <c r="E13" s="359"/>
      <c r="F13" s="360"/>
      <c r="G13" s="138"/>
      <c r="H13" s="139" t="str">
        <f>IF(OR(D13="",D13=""),"",VLOOKUP(D13,'price and cost sheet'!B:F,3,0))</f>
        <v/>
      </c>
      <c r="I13" s="157" t="s">
        <v>503</v>
      </c>
      <c r="J13" s="158" t="str">
        <f t="shared" si="0"/>
        <v/>
      </c>
      <c r="K13" s="153" t="str">
        <f>IF(OR(D13="",D13=""),"",VLOOKUP(D13,'price and cost sheet'!B:F,5,0))</f>
        <v/>
      </c>
      <c r="N13" s="161"/>
      <c r="O13" s="161"/>
      <c r="R13" s="184" t="str">
        <f>IF(OR(D13="",D13=""),"",VLOOKUP(D13,'price and cost sheet'!$B:$F,4,0))</f>
        <v/>
      </c>
    </row>
    <row r="14" spans="1:18" ht="21.9" customHeight="1">
      <c r="A14" s="169">
        <v>8</v>
      </c>
      <c r="B14" s="137"/>
      <c r="C14" s="145"/>
      <c r="D14" s="358"/>
      <c r="E14" s="359"/>
      <c r="F14" s="360"/>
      <c r="G14" s="166"/>
      <c r="H14" s="139" t="str">
        <f>IF(OR(D14="",D14=""),"",VLOOKUP(D14,'price and cost sheet'!B:F,3,0))</f>
        <v/>
      </c>
      <c r="I14" s="157" t="s">
        <v>503</v>
      </c>
      <c r="J14" s="158" t="str">
        <f t="shared" si="0"/>
        <v/>
      </c>
      <c r="K14" s="153" t="str">
        <f>IF(OR(D14="",D14=""),"",VLOOKUP(D14,'price and cost sheet'!B:F,5,0))</f>
        <v/>
      </c>
      <c r="N14" s="161"/>
      <c r="O14" s="161"/>
      <c r="R14" s="184" t="str">
        <f>IF(OR(D14="",D14=""),"",VLOOKUP(D14,'price and cost sheet'!$B:$F,4,0))</f>
        <v/>
      </c>
    </row>
    <row r="15" spans="1:18" ht="21.9" customHeight="1">
      <c r="A15" s="169">
        <v>9</v>
      </c>
      <c r="B15" s="137"/>
      <c r="C15" s="145"/>
      <c r="D15" s="358"/>
      <c r="E15" s="359"/>
      <c r="F15" s="360"/>
      <c r="G15" s="166"/>
      <c r="H15" s="139" t="str">
        <f>IF(OR(D15="",D15=""),"",VLOOKUP(D15,'price and cost sheet'!B:F,3,0))</f>
        <v/>
      </c>
      <c r="I15" s="157" t="s">
        <v>503</v>
      </c>
      <c r="J15" s="158" t="str">
        <f t="shared" si="0"/>
        <v/>
      </c>
      <c r="K15" s="153" t="str">
        <f>IF(OR(D15="",D15=""),"",VLOOKUP(D15,'price and cost sheet'!B:F,5,0))</f>
        <v/>
      </c>
      <c r="R15" s="184" t="str">
        <f>IF(OR(D15="",D15=""),"",VLOOKUP(D15,'price and cost sheet'!$B:$F,4,0))</f>
        <v/>
      </c>
    </row>
    <row r="16" spans="1:18" ht="21.9" customHeight="1">
      <c r="A16" s="169">
        <v>10</v>
      </c>
      <c r="B16" s="137"/>
      <c r="C16" s="145"/>
      <c r="D16" s="358"/>
      <c r="E16" s="359"/>
      <c r="F16" s="360"/>
      <c r="G16" s="138"/>
      <c r="H16" s="139" t="str">
        <f>IF(OR(D16="",D16=""),"",VLOOKUP(D16,'price and cost sheet'!B:F,3,0))</f>
        <v/>
      </c>
      <c r="I16" s="157" t="s">
        <v>503</v>
      </c>
      <c r="J16" s="158" t="str">
        <f t="shared" si="0"/>
        <v/>
      </c>
      <c r="K16" s="153" t="str">
        <f>IF(OR(D16="",D16=""),"",VLOOKUP(D16,'price and cost sheet'!B:F,5,0))</f>
        <v/>
      </c>
      <c r="R16" s="184" t="str">
        <f>IF(OR(D16="",D16=""),"",VLOOKUP(D16,'price and cost sheet'!$B:$F,4,0))</f>
        <v/>
      </c>
    </row>
    <row r="17" spans="1:18" ht="21.9" customHeight="1">
      <c r="A17" s="169">
        <v>11</v>
      </c>
      <c r="B17" s="141"/>
      <c r="C17" s="142"/>
      <c r="D17" s="358"/>
      <c r="E17" s="359"/>
      <c r="F17" s="360"/>
      <c r="G17" s="138"/>
      <c r="H17" s="139" t="str">
        <f>IF(OR(D17="",D17=""),"",VLOOKUP(D17,'price and cost sheet'!B:F,3,0))</f>
        <v/>
      </c>
      <c r="I17" s="157" t="s">
        <v>503</v>
      </c>
      <c r="J17" s="158" t="str">
        <f t="shared" si="0"/>
        <v/>
      </c>
      <c r="K17" s="153" t="str">
        <f>IF(OR(D17="",D17=""),"",VLOOKUP(D17,'price and cost sheet'!B:F,5,0))</f>
        <v/>
      </c>
      <c r="R17" s="184" t="str">
        <f>IF(OR(D17="",D17=""),"",VLOOKUP(D17,'price and cost sheet'!$B:$F,4,0))</f>
        <v/>
      </c>
    </row>
    <row r="18" spans="1:18" ht="21.9" customHeight="1">
      <c r="A18" s="169">
        <v>12</v>
      </c>
      <c r="B18" s="141"/>
      <c r="C18" s="142"/>
      <c r="D18" s="358"/>
      <c r="E18" s="359"/>
      <c r="F18" s="360"/>
      <c r="G18" s="138"/>
      <c r="H18" s="139" t="str">
        <f>IF(OR(D18="",D18=""),"",VLOOKUP(D18,'price and cost sheet'!B:F,3,0))</f>
        <v/>
      </c>
      <c r="I18" s="157" t="s">
        <v>503</v>
      </c>
      <c r="J18" s="158" t="str">
        <f t="shared" si="0"/>
        <v/>
      </c>
      <c r="K18" s="153" t="str">
        <f>IF(OR(D18="",D18=""),"",VLOOKUP(D18,'price and cost sheet'!B:F,5,0))</f>
        <v/>
      </c>
      <c r="R18" s="184" t="str">
        <f>IF(OR(D18="",D18=""),"",VLOOKUP(D18,'price and cost sheet'!$B:$F,4,0))</f>
        <v/>
      </c>
    </row>
    <row r="19" spans="1:18" ht="21.9" customHeight="1">
      <c r="A19" s="169">
        <v>13</v>
      </c>
      <c r="B19" s="141"/>
      <c r="C19" s="142"/>
      <c r="D19" s="358"/>
      <c r="E19" s="359"/>
      <c r="F19" s="360"/>
      <c r="G19" s="138"/>
      <c r="H19" s="139" t="str">
        <f>IF(OR(D19="",D19=""),"",VLOOKUP(D19,'price and cost sheet'!B:F,3,0))</f>
        <v/>
      </c>
      <c r="I19" s="157" t="s">
        <v>503</v>
      </c>
      <c r="J19" s="158" t="str">
        <f t="shared" si="0"/>
        <v/>
      </c>
      <c r="K19" s="153" t="str">
        <f>IF(OR(D19="",D19=""),"",VLOOKUP(D19,'price and cost sheet'!B:F,5,0))</f>
        <v/>
      </c>
      <c r="R19" s="184" t="str">
        <f>IF(OR(D19="",D19=""),"",VLOOKUP(D19,'price and cost sheet'!$B:$F,4,0))</f>
        <v/>
      </c>
    </row>
    <row r="20" spans="1:18" ht="21.9" customHeight="1">
      <c r="A20" s="169">
        <v>14</v>
      </c>
      <c r="B20" s="141"/>
      <c r="C20" s="142"/>
      <c r="D20" s="358"/>
      <c r="E20" s="359"/>
      <c r="F20" s="360"/>
      <c r="G20" s="138"/>
      <c r="H20" s="139" t="str">
        <f>IF(OR(D20="",D20=""),"",VLOOKUP(D20,'price and cost sheet'!B:F,3,0))</f>
        <v/>
      </c>
      <c r="I20" s="157" t="s">
        <v>503</v>
      </c>
      <c r="J20" s="158" t="str">
        <f t="shared" si="0"/>
        <v/>
      </c>
      <c r="K20" s="153" t="str">
        <f>IF(OR(D20="",D20=""),"",VLOOKUP(D20,'price and cost sheet'!B:F,5,0))</f>
        <v/>
      </c>
      <c r="R20" s="184" t="str">
        <f>IF(OR(D20="",D20=""),"",VLOOKUP(D20,'price and cost sheet'!$B:$F,4,0))</f>
        <v/>
      </c>
    </row>
    <row r="21" spans="1:18" ht="21.9" customHeight="1">
      <c r="A21" s="169">
        <v>15</v>
      </c>
      <c r="B21" s="179"/>
      <c r="C21" s="142"/>
      <c r="D21" s="358"/>
      <c r="E21" s="359"/>
      <c r="F21" s="360"/>
      <c r="G21" s="138"/>
      <c r="H21" s="139" t="str">
        <f>IF(OR(D21="",D21=""),"",VLOOKUP(D21,'price and cost sheet'!B:F,3,0))</f>
        <v/>
      </c>
      <c r="I21" s="157" t="s">
        <v>503</v>
      </c>
      <c r="J21" s="158" t="str">
        <f t="shared" si="0"/>
        <v/>
      </c>
      <c r="K21" s="153" t="str">
        <f>IF(OR(D21="",D21=""),"",VLOOKUP(D21,'price and cost sheet'!B:F,5,0))</f>
        <v/>
      </c>
      <c r="R21" s="184" t="str">
        <f>IF(OR(D21="",D21=""),"",VLOOKUP(D21,'price and cost sheet'!$B:$F,4,0))</f>
        <v/>
      </c>
    </row>
    <row r="22" spans="1:18" ht="21.9" customHeight="1">
      <c r="A22" s="169">
        <v>16</v>
      </c>
      <c r="B22" s="179"/>
      <c r="C22" s="142"/>
      <c r="D22" s="358"/>
      <c r="E22" s="359"/>
      <c r="F22" s="360"/>
      <c r="G22" s="138"/>
      <c r="H22" s="139" t="str">
        <f>IF(OR(D22="",D22=""),"",VLOOKUP(D22,'price and cost sheet'!B:F,3,0))</f>
        <v/>
      </c>
      <c r="I22" s="157" t="s">
        <v>503</v>
      </c>
      <c r="J22" s="158" t="str">
        <f t="shared" si="0"/>
        <v/>
      </c>
      <c r="K22" s="153" t="str">
        <f>IF(OR(D22="",D22=""),"",VLOOKUP(D22,'price and cost sheet'!B:F,5,0))</f>
        <v/>
      </c>
      <c r="R22" s="184" t="str">
        <f>IF(OR(D22="",D22=""),"",VLOOKUP(D22,'price and cost sheet'!$B:$F,4,0))</f>
        <v/>
      </c>
    </row>
    <row r="23" spans="1:18" ht="21.9" customHeight="1">
      <c r="A23" s="169">
        <v>17</v>
      </c>
      <c r="B23" s="141"/>
      <c r="C23" s="142"/>
      <c r="D23" s="358"/>
      <c r="E23" s="359"/>
      <c r="F23" s="360"/>
      <c r="G23" s="180"/>
      <c r="H23" s="139" t="str">
        <f>IF(OR(D23="",D23=""),"",VLOOKUP(D23,'price and cost sheet'!B:F,3,0))</f>
        <v/>
      </c>
      <c r="I23" s="157" t="s">
        <v>503</v>
      </c>
      <c r="J23" s="158" t="str">
        <f t="shared" si="0"/>
        <v/>
      </c>
      <c r="K23" s="153" t="str">
        <f>IF(OR(D23="",D23=""),"",VLOOKUP(D23,'price and cost sheet'!B:F,5,0))</f>
        <v/>
      </c>
      <c r="R23" s="184" t="str">
        <f>IF(OR(D23="",D23=""),"",VLOOKUP(D23,'price and cost sheet'!$B:$F,4,0))</f>
        <v/>
      </c>
    </row>
    <row r="24" spans="1:18" ht="21.9" customHeight="1">
      <c r="A24" s="169">
        <v>18</v>
      </c>
      <c r="B24" s="141"/>
      <c r="C24" s="142"/>
      <c r="D24" s="358"/>
      <c r="E24" s="359"/>
      <c r="F24" s="360"/>
      <c r="G24" s="180"/>
      <c r="H24" s="139" t="str">
        <f>IF(OR(D24="",D24=""),"",VLOOKUP(D24,'price and cost sheet'!B:F,3,0))</f>
        <v/>
      </c>
      <c r="I24" s="157" t="s">
        <v>503</v>
      </c>
      <c r="J24" s="158" t="str">
        <f t="shared" si="0"/>
        <v/>
      </c>
      <c r="K24" s="153" t="str">
        <f>IF(OR(D24="",D24=""),"",VLOOKUP(D24,'price and cost sheet'!B:F,5,0))</f>
        <v/>
      </c>
      <c r="R24" s="184" t="str">
        <f>IF(OR(D24="",D24=""),"",VLOOKUP(D24,'price and cost sheet'!$B:$F,4,0))</f>
        <v/>
      </c>
    </row>
    <row r="25" spans="1:18" ht="21.9" customHeight="1">
      <c r="A25" s="169">
        <v>19</v>
      </c>
      <c r="B25" s="141"/>
      <c r="C25" s="142"/>
      <c r="D25" s="358"/>
      <c r="E25" s="359"/>
      <c r="F25" s="360"/>
      <c r="G25" s="180"/>
      <c r="H25" s="139" t="str">
        <f>IF(OR(D25="",D25=""),"",VLOOKUP(D25,'price and cost sheet'!B:F,3,0))</f>
        <v/>
      </c>
      <c r="I25" s="157" t="s">
        <v>503</v>
      </c>
      <c r="J25" s="158" t="str">
        <f t="shared" si="0"/>
        <v/>
      </c>
      <c r="K25" s="153" t="str">
        <f>IF(OR(D25="",D25=""),"",VLOOKUP(D25,'price and cost sheet'!B:F,5,0))</f>
        <v/>
      </c>
      <c r="R25" s="184" t="str">
        <f>IF(OR(D25="",D25=""),"",VLOOKUP(D25,'price and cost sheet'!$B:$F,4,0))</f>
        <v/>
      </c>
    </row>
    <row r="26" spans="1:18" ht="21.9" customHeight="1">
      <c r="A26" s="169">
        <v>20</v>
      </c>
      <c r="B26" s="141"/>
      <c r="C26" s="142"/>
      <c r="D26" s="358"/>
      <c r="E26" s="359"/>
      <c r="F26" s="360"/>
      <c r="G26" s="180"/>
      <c r="H26" s="139" t="str">
        <f>IF(OR(D26="",D26=""),"",VLOOKUP(D26,'price and cost sheet'!B:F,3,0))</f>
        <v/>
      </c>
      <c r="I26" s="157" t="s">
        <v>503</v>
      </c>
      <c r="J26" s="158" t="str">
        <f t="shared" si="0"/>
        <v/>
      </c>
      <c r="K26" s="153" t="str">
        <f>IF(OR(D26="",D26=""),"",VLOOKUP(D26,'price and cost sheet'!B:F,5,0))</f>
        <v/>
      </c>
      <c r="R26" s="184" t="str">
        <f>IF(OR(D26="",D26=""),"",VLOOKUP(D26,'price and cost sheet'!$B:$F,4,0))</f>
        <v/>
      </c>
    </row>
    <row r="27" spans="1:18" ht="21.9" customHeight="1">
      <c r="A27" s="169">
        <v>21</v>
      </c>
      <c r="B27" s="137"/>
      <c r="C27" s="145"/>
      <c r="D27" s="378"/>
      <c r="E27" s="379"/>
      <c r="F27" s="380"/>
      <c r="G27" s="181"/>
      <c r="H27" s="139" t="str">
        <f>IF(OR(D27="",D27=""),"",VLOOKUP(D27,'price and cost sheet'!B:F,3,0))</f>
        <v/>
      </c>
      <c r="I27" s="157" t="s">
        <v>503</v>
      </c>
      <c r="J27" s="158" t="str">
        <f t="shared" si="0"/>
        <v/>
      </c>
      <c r="K27" s="153" t="str">
        <f>IF(OR(D27="",D27=""),"",VLOOKUP(D27,'price and cost sheet'!B:F,5,0))</f>
        <v/>
      </c>
      <c r="R27" s="184" t="str">
        <f>IF(OR(D27="",D27=""),"",VLOOKUP(D27,'price and cost sheet'!$B:$F,4,0))</f>
        <v/>
      </c>
    </row>
    <row r="28" spans="1:18" ht="21.9" customHeight="1">
      <c r="A28" s="169">
        <v>22</v>
      </c>
      <c r="B28" s="137"/>
      <c r="C28" s="145"/>
      <c r="D28" s="378"/>
      <c r="E28" s="379"/>
      <c r="F28" s="380"/>
      <c r="G28" s="181"/>
      <c r="H28" s="139" t="str">
        <f>IF(OR(D28="",D28=""),"",VLOOKUP(D28,'price and cost sheet'!B:F,3,0))</f>
        <v/>
      </c>
      <c r="I28" s="157" t="s">
        <v>503</v>
      </c>
      <c r="J28" s="158" t="str">
        <f t="shared" si="0"/>
        <v/>
      </c>
      <c r="K28" s="153" t="str">
        <f>IF(OR(D28="",D28=""),"",VLOOKUP(D28,'price and cost sheet'!B:F,5,0))</f>
        <v/>
      </c>
      <c r="R28" s="184" t="str">
        <f>IF(OR(D28="",D28=""),"",VLOOKUP(D28,'price and cost sheet'!$B:$F,4,0))</f>
        <v/>
      </c>
    </row>
    <row r="29" spans="1:18" ht="21.9" customHeight="1">
      <c r="A29" s="169">
        <v>23</v>
      </c>
      <c r="B29" s="137"/>
      <c r="C29" s="145"/>
      <c r="D29" s="378"/>
      <c r="E29" s="379"/>
      <c r="F29" s="380"/>
      <c r="G29" s="181"/>
      <c r="H29" s="139" t="str">
        <f>IF(OR(D29="",D29=""),"",VLOOKUP(D29,'price and cost sheet'!B:F,3,0))</f>
        <v/>
      </c>
      <c r="I29" s="157" t="s">
        <v>503</v>
      </c>
      <c r="J29" s="158" t="str">
        <f t="shared" si="0"/>
        <v/>
      </c>
      <c r="K29" s="153" t="str">
        <f>IF(OR(D29="",D29=""),"",VLOOKUP(D29,'price and cost sheet'!B:F,5,0))</f>
        <v/>
      </c>
      <c r="R29" s="184" t="str">
        <f>IF(OR(D29="",D29=""),"",VLOOKUP(D29,'price and cost sheet'!$B:$F,4,0))</f>
        <v/>
      </c>
    </row>
    <row r="30" spans="1:18" ht="21.9" customHeight="1">
      <c r="A30" s="169">
        <v>24</v>
      </c>
      <c r="B30" s="137"/>
      <c r="C30" s="145"/>
      <c r="D30" s="378"/>
      <c r="E30" s="379"/>
      <c r="F30" s="380"/>
      <c r="G30" s="181"/>
      <c r="H30" s="139" t="str">
        <f>IF(OR(D30="",D30=""),"",VLOOKUP(D30,'price and cost sheet'!B:F,3,0))</f>
        <v/>
      </c>
      <c r="I30" s="157" t="s">
        <v>503</v>
      </c>
      <c r="J30" s="158" t="str">
        <f t="shared" si="0"/>
        <v/>
      </c>
      <c r="K30" s="153" t="str">
        <f>IF(OR(D30="",D30=""),"",VLOOKUP(D30,'price and cost sheet'!B:F,5,0))</f>
        <v/>
      </c>
      <c r="R30" s="184" t="str">
        <f>IF(OR(D30="",D30=""),"",VLOOKUP(D30,'price and cost sheet'!$B:$F,4,0))</f>
        <v/>
      </c>
    </row>
    <row r="31" spans="1:18" ht="21.9" customHeight="1">
      <c r="A31" s="169">
        <v>25</v>
      </c>
      <c r="B31" s="137"/>
      <c r="C31" s="145"/>
      <c r="D31" s="378"/>
      <c r="E31" s="379"/>
      <c r="F31" s="380"/>
      <c r="G31" s="181"/>
      <c r="H31" s="139" t="str">
        <f>IF(OR(D31="",D31=""),"",VLOOKUP(D31,'price and cost sheet'!B:F,3,0))</f>
        <v/>
      </c>
      <c r="I31" s="157" t="s">
        <v>503</v>
      </c>
      <c r="J31" s="158" t="str">
        <f t="shared" si="0"/>
        <v/>
      </c>
      <c r="K31" s="153" t="str">
        <f>IF(OR(D31="",D31=""),"",VLOOKUP(D31,'price and cost sheet'!B:F,5,0))</f>
        <v/>
      </c>
      <c r="R31" s="184" t="str">
        <f>IF(OR(D31="",D31=""),"",VLOOKUP(D31,'price and cost sheet'!$B:$F,4,0))</f>
        <v/>
      </c>
    </row>
    <row r="32" spans="1:18" ht="21.9" customHeight="1">
      <c r="A32" s="169">
        <v>26</v>
      </c>
      <c r="B32" s="182"/>
      <c r="C32" s="145"/>
      <c r="D32" s="378"/>
      <c r="E32" s="379"/>
      <c r="F32" s="380"/>
      <c r="G32" s="181"/>
      <c r="H32" s="139" t="str">
        <f>IF(OR(D32="",D32=""),"",VLOOKUP(D32,'price and cost sheet'!B:F,3,0))</f>
        <v/>
      </c>
      <c r="I32" s="157" t="s">
        <v>503</v>
      </c>
      <c r="J32" s="158" t="str">
        <f t="shared" si="0"/>
        <v/>
      </c>
      <c r="K32" s="153" t="str">
        <f>IF(OR(D32="",D32=""),"",VLOOKUP(D32,'price and cost sheet'!B:F,5,0))</f>
        <v/>
      </c>
      <c r="R32" s="184" t="str">
        <f>IF(OR(D32="",D32=""),"",VLOOKUP(D32,'price and cost sheet'!$B:$F,4,0))</f>
        <v/>
      </c>
    </row>
    <row r="33" spans="1:18" ht="21.9" customHeight="1">
      <c r="A33" s="169">
        <v>27</v>
      </c>
      <c r="B33" s="182"/>
      <c r="C33" s="145"/>
      <c r="D33" s="378"/>
      <c r="E33" s="379"/>
      <c r="F33" s="380"/>
      <c r="G33" s="181"/>
      <c r="H33" s="139" t="str">
        <f>IF(OR(D33="",D33=""),"",VLOOKUP(D33,'price and cost sheet'!B:F,3,0))</f>
        <v/>
      </c>
      <c r="I33" s="157" t="s">
        <v>503</v>
      </c>
      <c r="J33" s="158" t="str">
        <f t="shared" si="0"/>
        <v/>
      </c>
      <c r="K33" s="153" t="str">
        <f>IF(OR(D33="",D33=""),"",VLOOKUP(D33,'price and cost sheet'!B:F,5,0))</f>
        <v/>
      </c>
      <c r="R33" s="184" t="str">
        <f>IF(OR(D33="",D33=""),"",VLOOKUP(D33,'price and cost sheet'!$B:$F,4,0))</f>
        <v/>
      </c>
    </row>
    <row r="34" spans="1:18" ht="21.9" customHeight="1">
      <c r="A34" s="169">
        <v>28</v>
      </c>
      <c r="B34" s="182"/>
      <c r="C34" s="145"/>
      <c r="D34" s="378"/>
      <c r="E34" s="379"/>
      <c r="F34" s="380"/>
      <c r="G34" s="181"/>
      <c r="H34" s="139" t="str">
        <f>IF(OR(D34="",D34=""),"",VLOOKUP(D34,'price and cost sheet'!B:F,3,0))</f>
        <v/>
      </c>
      <c r="I34" s="157" t="s">
        <v>503</v>
      </c>
      <c r="J34" s="158" t="str">
        <f t="shared" si="0"/>
        <v/>
      </c>
      <c r="K34" s="153" t="str">
        <f>IF(OR(D34="",D34=""),"",VLOOKUP(D34,'price and cost sheet'!B:F,5,0))</f>
        <v/>
      </c>
      <c r="R34" s="184" t="str">
        <f>IF(OR(D34="",D34=""),"",VLOOKUP(D34,'price and cost sheet'!$B:$F,4,0))</f>
        <v/>
      </c>
    </row>
    <row r="35" spans="1:18" ht="24" customHeight="1">
      <c r="A35" s="167"/>
      <c r="B35" s="353" t="s">
        <v>504</v>
      </c>
      <c r="C35" s="354"/>
      <c r="D35" s="355"/>
      <c r="E35" s="356"/>
      <c r="F35" s="357"/>
      <c r="G35" s="169"/>
      <c r="H35" s="167"/>
      <c r="I35" s="167"/>
      <c r="J35" s="177">
        <f>SUM(J7:J34)*0.95</f>
        <v>0</v>
      </c>
      <c r="K35" s="153"/>
    </row>
    <row r="36" spans="1:18" ht="29.25" customHeight="1">
      <c r="A36" s="373"/>
      <c r="B36" s="374"/>
      <c r="K36"/>
    </row>
    <row r="37" spans="1:18" s="128" customFormat="1" ht="20.399999999999999">
      <c r="A37" s="375" t="s">
        <v>486</v>
      </c>
      <c r="B37" s="375"/>
      <c r="C37" s="375"/>
      <c r="D37" s="375"/>
      <c r="E37" s="375"/>
      <c r="F37" s="375"/>
      <c r="G37" s="375"/>
      <c r="H37" s="375"/>
      <c r="I37" s="375"/>
      <c r="J37" s="375"/>
      <c r="K37"/>
    </row>
    <row r="38" spans="1:18" s="128" customFormat="1" ht="22.8">
      <c r="A38" s="376" t="s">
        <v>487</v>
      </c>
      <c r="B38" s="377"/>
      <c r="C38" s="377"/>
      <c r="D38" s="377"/>
      <c r="E38" s="377"/>
      <c r="F38" s="377"/>
      <c r="G38" s="377"/>
      <c r="H38" s="377"/>
      <c r="I38" s="377"/>
      <c r="J38" s="377"/>
      <c r="K38"/>
    </row>
    <row r="39" spans="1:18" ht="30" customHeight="1">
      <c r="A39" s="149" t="s">
        <v>488</v>
      </c>
      <c r="B39" s="366"/>
      <c r="C39" s="367"/>
      <c r="D39" s="368" t="s">
        <v>489</v>
      </c>
      <c r="E39" s="369"/>
      <c r="F39" s="133"/>
      <c r="G39" s="368" t="s">
        <v>490</v>
      </c>
      <c r="H39" s="369"/>
      <c r="I39" s="366"/>
      <c r="J39" s="367"/>
      <c r="K39" s="164" t="s">
        <v>491</v>
      </c>
    </row>
    <row r="40" spans="1:18" ht="24" customHeight="1">
      <c r="A40" s="364" t="s">
        <v>492</v>
      </c>
      <c r="B40" s="347" t="s">
        <v>493</v>
      </c>
      <c r="C40" s="349"/>
      <c r="D40" s="347" t="s">
        <v>494</v>
      </c>
      <c r="E40" s="348"/>
      <c r="F40" s="349"/>
      <c r="G40" s="370" t="s">
        <v>495</v>
      </c>
      <c r="H40" s="371"/>
      <c r="I40" s="371"/>
      <c r="J40" s="372"/>
      <c r="K40" s="345" t="s">
        <v>496</v>
      </c>
    </row>
    <row r="41" spans="1:18" ht="24" customHeight="1">
      <c r="A41" s="365"/>
      <c r="B41" s="134" t="s">
        <v>497</v>
      </c>
      <c r="C41" s="134" t="s">
        <v>498</v>
      </c>
      <c r="D41" s="350"/>
      <c r="E41" s="351"/>
      <c r="F41" s="352"/>
      <c r="G41" s="135" t="s">
        <v>499</v>
      </c>
      <c r="H41" s="135" t="s">
        <v>500</v>
      </c>
      <c r="I41" s="135" t="s">
        <v>501</v>
      </c>
      <c r="J41" s="135" t="s">
        <v>502</v>
      </c>
      <c r="K41" s="346"/>
    </row>
    <row r="42" spans="1:18" ht="24" customHeight="1">
      <c r="A42" s="151">
        <v>1</v>
      </c>
      <c r="B42" s="137"/>
      <c r="C42" s="137"/>
      <c r="D42" s="361"/>
      <c r="E42" s="362"/>
      <c r="F42" s="363"/>
      <c r="G42" s="152"/>
      <c r="H42" s="153" t="str">
        <f>IF(OR(D42="",D42=""),"",VLOOKUP(D42,'price and cost sheet'!C:F,2,0))</f>
        <v/>
      </c>
      <c r="I42" s="157" t="s">
        <v>503</v>
      </c>
      <c r="J42" s="158" t="str">
        <f t="shared" ref="J42:J81" si="1">IF(OR(D42="",G42=""),"",G42*I42)</f>
        <v/>
      </c>
      <c r="K42" s="153" t="str">
        <f>IF(OR(D42="",D42=""),"",VLOOKUP(D42,'price and cost sheet'!C:F,4,0))</f>
        <v/>
      </c>
      <c r="N42" s="165"/>
      <c r="R42" s="184" t="str">
        <f>IF(OR(D42="",D42=""),"",VLOOKUP(D42,'price and cost sheet'!$C:$F,3,0))</f>
        <v/>
      </c>
    </row>
    <row r="43" spans="1:18" ht="24" customHeight="1">
      <c r="A43" s="151">
        <v>2</v>
      </c>
      <c r="B43" s="137"/>
      <c r="C43" s="137"/>
      <c r="D43" s="361"/>
      <c r="E43" s="362"/>
      <c r="F43" s="363"/>
      <c r="G43" s="152"/>
      <c r="H43" s="153" t="str">
        <f>IF(OR(D43="",D43=""),"",VLOOKUP(D43,'price and cost sheet'!C:F,2,0))</f>
        <v/>
      </c>
      <c r="I43" s="157" t="s">
        <v>503</v>
      </c>
      <c r="J43" s="158" t="str">
        <f t="shared" si="1"/>
        <v/>
      </c>
      <c r="K43" s="153" t="str">
        <f>IF(OR(D43="",D43=""),"",VLOOKUP(D43,'price and cost sheet'!C:F,4,0))</f>
        <v/>
      </c>
      <c r="N43" s="165"/>
      <c r="R43" s="184" t="str">
        <f>IF(OR(D43="",D43=""),"",VLOOKUP(D43,'price and cost sheet'!$C:$F,3,0))</f>
        <v/>
      </c>
    </row>
    <row r="44" spans="1:18" ht="24" customHeight="1">
      <c r="A44" s="151">
        <v>3</v>
      </c>
      <c r="B44" s="137"/>
      <c r="C44" s="137"/>
      <c r="D44" s="358"/>
      <c r="E44" s="359"/>
      <c r="F44" s="360"/>
      <c r="G44" s="152"/>
      <c r="H44" s="153" t="str">
        <f>IF(OR(D44="",D44=""),"",VLOOKUP(D44,'price and cost sheet'!C:F,2,0))</f>
        <v/>
      </c>
      <c r="I44" s="157" t="s">
        <v>503</v>
      </c>
      <c r="J44" s="158" t="str">
        <f t="shared" si="1"/>
        <v/>
      </c>
      <c r="K44" s="153" t="str">
        <f>IF(OR(D44="",D44=""),"",VLOOKUP(D44,'price and cost sheet'!C:F,4,0))</f>
        <v/>
      </c>
      <c r="N44" s="165"/>
      <c r="O44" s="161"/>
      <c r="R44" s="184" t="str">
        <f>IF(OR(D44="",D44=""),"",VLOOKUP(D44,'price and cost sheet'!$C:$F,3,0))</f>
        <v/>
      </c>
    </row>
    <row r="45" spans="1:18" ht="24" customHeight="1">
      <c r="A45" s="151">
        <v>4</v>
      </c>
      <c r="B45" s="137"/>
      <c r="C45" s="137"/>
      <c r="D45" s="358"/>
      <c r="E45" s="359"/>
      <c r="F45" s="360"/>
      <c r="G45" s="152"/>
      <c r="H45" s="153" t="str">
        <f>IF(OR(D45="",D45=""),"",VLOOKUP(D45,'price and cost sheet'!C:F,2,0))</f>
        <v/>
      </c>
      <c r="I45" s="157" t="s">
        <v>503</v>
      </c>
      <c r="J45" s="158" t="str">
        <f t="shared" si="1"/>
        <v/>
      </c>
      <c r="K45" s="153" t="str">
        <f>IF(OR(D45="",D45=""),"",VLOOKUP(D45,'price and cost sheet'!C:F,4,0))</f>
        <v/>
      </c>
      <c r="N45" s="165"/>
      <c r="R45" s="184" t="str">
        <f>IF(OR(D45="",D45=""),"",VLOOKUP(D45,'price and cost sheet'!$C:$F,3,0))</f>
        <v/>
      </c>
    </row>
    <row r="46" spans="1:18" ht="24" customHeight="1">
      <c r="A46" s="151">
        <v>5</v>
      </c>
      <c r="B46" s="137"/>
      <c r="C46" s="137"/>
      <c r="D46" s="361"/>
      <c r="E46" s="362"/>
      <c r="F46" s="363"/>
      <c r="G46" s="152"/>
      <c r="H46" s="153" t="str">
        <f>IF(OR(D46="",D46=""),"",VLOOKUP(D46,'price and cost sheet'!C:F,2,0))</f>
        <v/>
      </c>
      <c r="I46" s="157" t="s">
        <v>503</v>
      </c>
      <c r="J46" s="158" t="str">
        <f t="shared" si="1"/>
        <v/>
      </c>
      <c r="K46" s="153" t="str">
        <f>IF(OR(D46="",D46=""),"",VLOOKUP(D46,'price and cost sheet'!C:F,4,0))</f>
        <v/>
      </c>
      <c r="N46" s="165"/>
      <c r="R46" s="184" t="str">
        <f>IF(OR(D46="",D46=""),"",VLOOKUP(D46,'price and cost sheet'!$C:$F,3,0))</f>
        <v/>
      </c>
    </row>
    <row r="47" spans="1:18" ht="24" customHeight="1">
      <c r="A47" s="151">
        <v>6</v>
      </c>
      <c r="B47" s="137"/>
      <c r="C47" s="137"/>
      <c r="D47" s="358"/>
      <c r="E47" s="359"/>
      <c r="F47" s="360"/>
      <c r="G47" s="138"/>
      <c r="H47" s="153" t="str">
        <f>IF(OR(D47="",D47=""),"",VLOOKUP(D47,'price and cost sheet'!C:F,2,0))</f>
        <v/>
      </c>
      <c r="I47" s="157" t="s">
        <v>503</v>
      </c>
      <c r="J47" s="158" t="str">
        <f t="shared" si="1"/>
        <v/>
      </c>
      <c r="K47" s="153" t="str">
        <f>IF(OR(D47="",D47=""),"",VLOOKUP(D47,'price and cost sheet'!C:F,4,0))</f>
        <v/>
      </c>
      <c r="N47" s="165"/>
      <c r="R47" s="184" t="str">
        <f>IF(OR(D47="",D47=""),"",VLOOKUP(D47,'price and cost sheet'!$C:$F,3,0))</f>
        <v/>
      </c>
    </row>
    <row r="48" spans="1:18" ht="24" customHeight="1">
      <c r="A48" s="151">
        <v>7</v>
      </c>
      <c r="B48" s="137"/>
      <c r="C48" s="137"/>
      <c r="D48" s="358"/>
      <c r="E48" s="359"/>
      <c r="F48" s="360"/>
      <c r="G48" s="138"/>
      <c r="H48" s="153" t="str">
        <f>IF(OR(D48="",D48=""),"",VLOOKUP(D48,'price and cost sheet'!C:F,2,0))</f>
        <v/>
      </c>
      <c r="I48" s="157" t="s">
        <v>503</v>
      </c>
      <c r="J48" s="158" t="str">
        <f t="shared" si="1"/>
        <v/>
      </c>
      <c r="K48" s="153" t="str">
        <f>IF(OR(D48="",D48=""),"",VLOOKUP(D48,'price and cost sheet'!C:F,4,0))</f>
        <v/>
      </c>
      <c r="R48" s="184" t="str">
        <f>IF(OR(D48="",D48=""),"",VLOOKUP(D48,'price and cost sheet'!$C:$F,3,0))</f>
        <v/>
      </c>
    </row>
    <row r="49" spans="1:18" ht="24" customHeight="1">
      <c r="A49" s="151">
        <v>8</v>
      </c>
      <c r="B49" s="137"/>
      <c r="C49" s="137"/>
      <c r="D49" s="358"/>
      <c r="E49" s="359"/>
      <c r="F49" s="360"/>
      <c r="G49" s="138"/>
      <c r="H49" s="153" t="str">
        <f>IF(OR(D49="",D49=""),"",VLOOKUP(D49,'price and cost sheet'!C:F,2,0))</f>
        <v/>
      </c>
      <c r="I49" s="157" t="s">
        <v>503</v>
      </c>
      <c r="J49" s="158" t="str">
        <f t="shared" si="1"/>
        <v/>
      </c>
      <c r="K49" s="153" t="str">
        <f>IF(OR(D49="",D49=""),"",VLOOKUP(D49,'price and cost sheet'!C:F,4,0))</f>
        <v/>
      </c>
      <c r="R49" s="184" t="str">
        <f>IF(OR(D49="",D49=""),"",VLOOKUP(D49,'price and cost sheet'!$C:$F,3,0))</f>
        <v/>
      </c>
    </row>
    <row r="50" spans="1:18" ht="24" customHeight="1">
      <c r="A50" s="151">
        <v>9</v>
      </c>
      <c r="B50" s="137"/>
      <c r="C50" s="137"/>
      <c r="D50" s="358"/>
      <c r="E50" s="359"/>
      <c r="F50" s="360"/>
      <c r="G50" s="166"/>
      <c r="H50" s="153" t="str">
        <f>IF(OR(D50="",D50=""),"",VLOOKUP(D50,'price and cost sheet'!C:F,2,0))</f>
        <v/>
      </c>
      <c r="I50" s="157" t="s">
        <v>503</v>
      </c>
      <c r="J50" s="158" t="str">
        <f t="shared" si="1"/>
        <v/>
      </c>
      <c r="K50" s="153" t="str">
        <f>IF(OR(D50="",D50=""),"",VLOOKUP(D50,'price and cost sheet'!C:F,4,0))</f>
        <v/>
      </c>
      <c r="R50" s="184" t="str">
        <f>IF(OR(D50="",D50=""),"",VLOOKUP(D50,'price and cost sheet'!$C:$F,3,0))</f>
        <v/>
      </c>
    </row>
    <row r="51" spans="1:18" ht="24" customHeight="1">
      <c r="A51" s="151">
        <v>10</v>
      </c>
      <c r="B51" s="137"/>
      <c r="C51" s="137"/>
      <c r="D51" s="358"/>
      <c r="E51" s="359"/>
      <c r="F51" s="360"/>
      <c r="G51" s="166"/>
      <c r="H51" s="153" t="str">
        <f>IF(OR(D51="",D51=""),"",VLOOKUP(D51,'price and cost sheet'!C:F,2,0))</f>
        <v/>
      </c>
      <c r="I51" s="157" t="s">
        <v>503</v>
      </c>
      <c r="J51" s="158" t="str">
        <f t="shared" si="1"/>
        <v/>
      </c>
      <c r="K51" s="153" t="str">
        <f>IF(OR(D51="",D51=""),"",VLOOKUP(D51,'price and cost sheet'!C:F,4,0))</f>
        <v/>
      </c>
      <c r="R51" s="184" t="str">
        <f>IF(OR(D51="",D51=""),"",VLOOKUP(D51,'price and cost sheet'!$C:$F,3,0))</f>
        <v/>
      </c>
    </row>
    <row r="52" spans="1:18" ht="24" customHeight="1">
      <c r="A52" s="151">
        <v>11</v>
      </c>
      <c r="B52" s="137"/>
      <c r="C52" s="137"/>
      <c r="D52" s="358"/>
      <c r="E52" s="359"/>
      <c r="F52" s="360"/>
      <c r="G52" s="166"/>
      <c r="H52" s="153" t="str">
        <f>IF(OR(D52="",D52=""),"",VLOOKUP(D52,'price and cost sheet'!C:F,2,0))</f>
        <v/>
      </c>
      <c r="I52" s="157" t="s">
        <v>503</v>
      </c>
      <c r="J52" s="158" t="str">
        <f t="shared" si="1"/>
        <v/>
      </c>
      <c r="K52" s="153" t="str">
        <f>IF(OR(D52="",D52=""),"",VLOOKUP(D52,'price and cost sheet'!C:F,4,0))</f>
        <v/>
      </c>
      <c r="R52" s="184" t="str">
        <f>IF(OR(D52="",D52=""),"",VLOOKUP(D52,'price and cost sheet'!$C:$F,3,0))</f>
        <v/>
      </c>
    </row>
    <row r="53" spans="1:18" ht="24" customHeight="1">
      <c r="A53" s="151">
        <v>12</v>
      </c>
      <c r="B53" s="137"/>
      <c r="C53" s="137"/>
      <c r="D53" s="358"/>
      <c r="E53" s="359"/>
      <c r="F53" s="360"/>
      <c r="G53" s="166"/>
      <c r="H53" s="153" t="str">
        <f>IF(OR(D53="",D53=""),"",VLOOKUP(D53,'price and cost sheet'!C:F,2,0))</f>
        <v/>
      </c>
      <c r="I53" s="157" t="s">
        <v>503</v>
      </c>
      <c r="J53" s="158" t="str">
        <f t="shared" si="1"/>
        <v/>
      </c>
      <c r="K53" s="153" t="str">
        <f>IF(OR(D53="",D53=""),"",VLOOKUP(D53,'price and cost sheet'!C:F,4,0))</f>
        <v/>
      </c>
      <c r="R53" s="184" t="str">
        <f>IF(OR(D53="",D53=""),"",VLOOKUP(D53,'price and cost sheet'!$C:$F,3,0))</f>
        <v/>
      </c>
    </row>
    <row r="54" spans="1:18" ht="24" customHeight="1">
      <c r="A54" s="151">
        <v>13</v>
      </c>
      <c r="B54" s="137"/>
      <c r="C54" s="137"/>
      <c r="D54" s="358"/>
      <c r="E54" s="359"/>
      <c r="F54" s="360"/>
      <c r="G54" s="166"/>
      <c r="H54" s="153" t="str">
        <f>IF(OR(D54="",D54=""),"",VLOOKUP(D54,'price and cost sheet'!C:F,2,0))</f>
        <v/>
      </c>
      <c r="I54" s="157" t="s">
        <v>503</v>
      </c>
      <c r="J54" s="158" t="str">
        <f t="shared" si="1"/>
        <v/>
      </c>
      <c r="K54" s="153" t="str">
        <f>IF(OR(D54="",D54=""),"",VLOOKUP(D54,'price and cost sheet'!C:F,4,0))</f>
        <v/>
      </c>
      <c r="R54" s="184" t="str">
        <f>IF(OR(D54="",D54=""),"",VLOOKUP(D54,'price and cost sheet'!$C:$F,3,0))</f>
        <v/>
      </c>
    </row>
    <row r="55" spans="1:18" ht="24" customHeight="1">
      <c r="A55" s="151">
        <v>14</v>
      </c>
      <c r="B55" s="137"/>
      <c r="C55" s="137"/>
      <c r="D55" s="358"/>
      <c r="E55" s="359"/>
      <c r="F55" s="360"/>
      <c r="G55" s="166"/>
      <c r="H55" s="153" t="str">
        <f>IF(OR(D55="",D55=""),"",VLOOKUP(D55,'price and cost sheet'!C:F,2,0))</f>
        <v/>
      </c>
      <c r="I55" s="157" t="s">
        <v>503</v>
      </c>
      <c r="J55" s="158" t="str">
        <f t="shared" si="1"/>
        <v/>
      </c>
      <c r="K55" s="153" t="str">
        <f>IF(OR(D55="",D55=""),"",VLOOKUP(D55,'price and cost sheet'!C:F,4,0))</f>
        <v/>
      </c>
      <c r="R55" s="184" t="str">
        <f>IF(OR(D55="",D55=""),"",VLOOKUP(D55,'price and cost sheet'!$C:$F,3,0))</f>
        <v/>
      </c>
    </row>
    <row r="56" spans="1:18" ht="24" customHeight="1">
      <c r="A56" s="151">
        <v>15</v>
      </c>
      <c r="B56" s="137"/>
      <c r="C56" s="137"/>
      <c r="D56" s="361"/>
      <c r="E56" s="362"/>
      <c r="F56" s="363"/>
      <c r="G56" s="166"/>
      <c r="H56" s="153" t="str">
        <f>IF(OR(D56="",D56=""),"",VLOOKUP(D56,'price and cost sheet'!C:F,2,0))</f>
        <v/>
      </c>
      <c r="I56" s="157" t="s">
        <v>503</v>
      </c>
      <c r="J56" s="158" t="str">
        <f t="shared" si="1"/>
        <v/>
      </c>
      <c r="K56" s="153" t="str">
        <f>IF(OR(D56="",D56=""),"",VLOOKUP(D56,'price and cost sheet'!C:F,4,0))</f>
        <v/>
      </c>
      <c r="R56" s="184" t="str">
        <f>IF(OR(D56="",D56=""),"",VLOOKUP(D56,'price and cost sheet'!$C:$F,3,0))</f>
        <v/>
      </c>
    </row>
    <row r="57" spans="1:18" ht="24" customHeight="1">
      <c r="A57" s="151">
        <v>16</v>
      </c>
      <c r="B57" s="137"/>
      <c r="C57" s="137"/>
      <c r="D57" s="361"/>
      <c r="E57" s="362"/>
      <c r="F57" s="363"/>
      <c r="G57" s="166"/>
      <c r="H57" s="153" t="str">
        <f>IF(OR(D57="",D57=""),"",VLOOKUP(D57,'price and cost sheet'!C:F,2,0))</f>
        <v/>
      </c>
      <c r="I57" s="157" t="s">
        <v>503</v>
      </c>
      <c r="J57" s="158" t="str">
        <f t="shared" si="1"/>
        <v/>
      </c>
      <c r="K57" s="153" t="str">
        <f>IF(OR(D57="",D57=""),"",VLOOKUP(D57,'price and cost sheet'!C:F,4,0))</f>
        <v/>
      </c>
      <c r="R57" s="184" t="str">
        <f>IF(OR(D57="",D57=""),"",VLOOKUP(D57,'price and cost sheet'!$C:$F,3,0))</f>
        <v/>
      </c>
    </row>
    <row r="58" spans="1:18" ht="24" customHeight="1">
      <c r="A58" s="151">
        <v>17</v>
      </c>
      <c r="B58" s="137"/>
      <c r="C58" s="137"/>
      <c r="D58" s="361"/>
      <c r="E58" s="362"/>
      <c r="F58" s="363"/>
      <c r="G58" s="166"/>
      <c r="H58" s="153" t="str">
        <f>IF(OR(D58="",D58=""),"",VLOOKUP(D58,'price and cost sheet'!C:F,2,0))</f>
        <v/>
      </c>
      <c r="I58" s="157" t="s">
        <v>503</v>
      </c>
      <c r="J58" s="158" t="str">
        <f t="shared" si="1"/>
        <v/>
      </c>
      <c r="K58" s="153" t="str">
        <f>IF(OR(D58="",D58=""),"",VLOOKUP(D58,'price and cost sheet'!C:F,4,0))</f>
        <v/>
      </c>
      <c r="R58" s="184" t="str">
        <f>IF(OR(D58="",D58=""),"",VLOOKUP(D58,'price and cost sheet'!$C:$F,3,0))</f>
        <v/>
      </c>
    </row>
    <row r="59" spans="1:18" ht="24" customHeight="1">
      <c r="A59" s="151">
        <v>18</v>
      </c>
      <c r="B59" s="137"/>
      <c r="C59" s="137"/>
      <c r="D59" s="361"/>
      <c r="E59" s="362"/>
      <c r="F59" s="363"/>
      <c r="G59" s="166"/>
      <c r="H59" s="153" t="str">
        <f>IF(OR(D59="",D59=""),"",VLOOKUP(D59,'price and cost sheet'!C:F,2,0))</f>
        <v/>
      </c>
      <c r="I59" s="157" t="s">
        <v>503</v>
      </c>
      <c r="J59" s="158" t="str">
        <f t="shared" si="1"/>
        <v/>
      </c>
      <c r="K59" s="153" t="str">
        <f>IF(OR(D59="",D59=""),"",VLOOKUP(D59,'price and cost sheet'!C:F,4,0))</f>
        <v/>
      </c>
      <c r="R59" s="184" t="str">
        <f>IF(OR(D59="",D59=""),"",VLOOKUP(D59,'price and cost sheet'!$C:$F,3,0))</f>
        <v/>
      </c>
    </row>
    <row r="60" spans="1:18" ht="24" customHeight="1">
      <c r="A60" s="151">
        <v>19</v>
      </c>
      <c r="B60" s="137"/>
      <c r="C60" s="137"/>
      <c r="D60" s="361"/>
      <c r="E60" s="362"/>
      <c r="F60" s="363"/>
      <c r="G60" s="166"/>
      <c r="H60" s="153" t="str">
        <f>IF(OR(D60="",D60=""),"",VLOOKUP(D60,'price and cost sheet'!C:F,2,0))</f>
        <v/>
      </c>
      <c r="I60" s="157" t="s">
        <v>503</v>
      </c>
      <c r="J60" s="158" t="str">
        <f t="shared" si="1"/>
        <v/>
      </c>
      <c r="K60" s="153" t="str">
        <f>IF(OR(D60="",D60=""),"",VLOOKUP(D60,'price and cost sheet'!C:F,4,0))</f>
        <v/>
      </c>
      <c r="R60" s="184" t="str">
        <f>IF(OR(D60="",D60=""),"",VLOOKUP(D60,'price and cost sheet'!$C:$F,3,0))</f>
        <v/>
      </c>
    </row>
    <row r="61" spans="1:18" ht="24" customHeight="1">
      <c r="A61" s="151">
        <v>20</v>
      </c>
      <c r="B61" s="137"/>
      <c r="C61" s="137"/>
      <c r="D61" s="361"/>
      <c r="E61" s="362"/>
      <c r="F61" s="363"/>
      <c r="G61" s="166"/>
      <c r="H61" s="153" t="str">
        <f>IF(OR(D61="",D61=""),"",VLOOKUP(D61,'price and cost sheet'!C:F,2,0))</f>
        <v/>
      </c>
      <c r="I61" s="157" t="s">
        <v>503</v>
      </c>
      <c r="J61" s="158" t="str">
        <f t="shared" si="1"/>
        <v/>
      </c>
      <c r="K61" s="153" t="str">
        <f>IF(OR(D61="",D61=""),"",VLOOKUP(D61,'price and cost sheet'!C:F,4,0))</f>
        <v/>
      </c>
      <c r="R61" s="184" t="str">
        <f>IF(OR(D61="",D61=""),"",VLOOKUP(D61,'price and cost sheet'!$C:$F,3,0))</f>
        <v/>
      </c>
    </row>
    <row r="62" spans="1:18" ht="24" customHeight="1">
      <c r="A62" s="151">
        <v>21</v>
      </c>
      <c r="B62" s="137"/>
      <c r="C62" s="137"/>
      <c r="D62" s="358"/>
      <c r="E62" s="359"/>
      <c r="F62" s="360"/>
      <c r="G62" s="166"/>
      <c r="H62" s="153" t="str">
        <f>IF(OR(D62="",D62=""),"",VLOOKUP(D62,'price and cost sheet'!C:F,2,0))</f>
        <v/>
      </c>
      <c r="I62" s="157" t="s">
        <v>503</v>
      </c>
      <c r="J62" s="158" t="str">
        <f t="shared" si="1"/>
        <v/>
      </c>
      <c r="K62" s="153" t="str">
        <f>IF(OR(D62="",D62=""),"",VLOOKUP(D62,'price and cost sheet'!C:F,4,0))</f>
        <v/>
      </c>
      <c r="R62" s="184" t="str">
        <f>IF(OR(D62="",D62=""),"",VLOOKUP(D62,'price and cost sheet'!$C:$F,3,0))</f>
        <v/>
      </c>
    </row>
    <row r="63" spans="1:18" ht="24" customHeight="1">
      <c r="A63" s="151">
        <v>22</v>
      </c>
      <c r="B63" s="137"/>
      <c r="C63" s="137"/>
      <c r="D63" s="358"/>
      <c r="E63" s="359"/>
      <c r="F63" s="360"/>
      <c r="G63" s="166"/>
      <c r="H63" s="153" t="str">
        <f>IF(OR(D63="",D63=""),"",VLOOKUP(D63,'price and cost sheet'!C:F,2,0))</f>
        <v/>
      </c>
      <c r="I63" s="157" t="s">
        <v>503</v>
      </c>
      <c r="J63" s="158" t="str">
        <f t="shared" si="1"/>
        <v/>
      </c>
      <c r="K63" s="153" t="str">
        <f>IF(OR(D63="",D63=""),"",VLOOKUP(D63,'price and cost sheet'!C:F,4,0))</f>
        <v/>
      </c>
      <c r="R63" s="184" t="str">
        <f>IF(OR(D63="",D63=""),"",VLOOKUP(D63,'price and cost sheet'!$C:$F,3,0))</f>
        <v/>
      </c>
    </row>
    <row r="64" spans="1:18" ht="24" customHeight="1">
      <c r="A64" s="151">
        <v>23</v>
      </c>
      <c r="B64" s="137"/>
      <c r="C64" s="137"/>
      <c r="D64" s="358"/>
      <c r="E64" s="359"/>
      <c r="F64" s="360"/>
      <c r="G64" s="166"/>
      <c r="H64" s="153" t="str">
        <f>IF(OR(D64="",D64=""),"",VLOOKUP(D64,'price and cost sheet'!C:F,2,0))</f>
        <v/>
      </c>
      <c r="I64" s="157" t="s">
        <v>503</v>
      </c>
      <c r="J64" s="158" t="str">
        <f t="shared" si="1"/>
        <v/>
      </c>
      <c r="K64" s="153" t="str">
        <f>IF(OR(D64="",D64=""),"",VLOOKUP(D64,'price and cost sheet'!C:F,4,0))</f>
        <v/>
      </c>
      <c r="R64" s="184" t="str">
        <f>IF(OR(D64="",D64=""),"",VLOOKUP(D64,'price and cost sheet'!$C:$F,3,0))</f>
        <v/>
      </c>
    </row>
    <row r="65" spans="1:18" ht="24" customHeight="1">
      <c r="A65" s="151">
        <v>24</v>
      </c>
      <c r="B65" s="137"/>
      <c r="C65" s="137"/>
      <c r="D65" s="358"/>
      <c r="E65" s="359"/>
      <c r="F65" s="360"/>
      <c r="G65" s="166"/>
      <c r="H65" s="153" t="str">
        <f>IF(OR(D65="",D65=""),"",VLOOKUP(D65,'price and cost sheet'!C:F,2,0))</f>
        <v/>
      </c>
      <c r="I65" s="157" t="s">
        <v>503</v>
      </c>
      <c r="J65" s="158" t="str">
        <f t="shared" si="1"/>
        <v/>
      </c>
      <c r="K65" s="153" t="str">
        <f>IF(OR(D65="",D65=""),"",VLOOKUP(D65,'price and cost sheet'!C:F,4,0))</f>
        <v/>
      </c>
      <c r="R65" s="184" t="str">
        <f>IF(OR(D65="",D65=""),"",VLOOKUP(D65,'price and cost sheet'!$C:$F,3,0))</f>
        <v/>
      </c>
    </row>
    <row r="66" spans="1:18" ht="24" customHeight="1">
      <c r="A66" s="151">
        <v>25</v>
      </c>
      <c r="B66" s="137"/>
      <c r="C66" s="137"/>
      <c r="D66" s="358"/>
      <c r="E66" s="359"/>
      <c r="F66" s="360"/>
      <c r="G66" s="166"/>
      <c r="H66" s="153" t="str">
        <f>IF(OR(D66="",D66=""),"",VLOOKUP(D66,'price and cost sheet'!C:F,2,0))</f>
        <v/>
      </c>
      <c r="I66" s="157" t="s">
        <v>503</v>
      </c>
      <c r="J66" s="158" t="str">
        <f t="shared" si="1"/>
        <v/>
      </c>
      <c r="K66" s="153" t="str">
        <f>IF(OR(D66="",D66=""),"",VLOOKUP(D66,'price and cost sheet'!C:F,4,0))</f>
        <v/>
      </c>
      <c r="R66" s="184" t="str">
        <f>IF(OR(D66="",D66=""),"",VLOOKUP(D66,'price and cost sheet'!$C:$F,3,0))</f>
        <v/>
      </c>
    </row>
    <row r="67" spans="1:18" ht="24" customHeight="1">
      <c r="A67" s="151">
        <v>26</v>
      </c>
      <c r="B67" s="137"/>
      <c r="C67" s="137"/>
      <c r="D67" s="358"/>
      <c r="E67" s="359"/>
      <c r="F67" s="360"/>
      <c r="G67" s="180"/>
      <c r="H67" s="153" t="str">
        <f>IF(OR(D67="",D67=""),"",VLOOKUP(D67,'price and cost sheet'!C:F,2,0))</f>
        <v/>
      </c>
      <c r="I67" s="157" t="s">
        <v>503</v>
      </c>
      <c r="J67" s="158" t="str">
        <f t="shared" si="1"/>
        <v/>
      </c>
      <c r="K67" s="153" t="str">
        <f>IF(OR(D67="",D67=""),"",VLOOKUP(D67,'price and cost sheet'!C:F,4,0))</f>
        <v/>
      </c>
      <c r="R67" s="184" t="str">
        <f>IF(OR(D67="",D67=""),"",VLOOKUP(D67,'price and cost sheet'!$C:$F,3,0))</f>
        <v/>
      </c>
    </row>
    <row r="68" spans="1:18" ht="24" customHeight="1">
      <c r="A68" s="151">
        <v>27</v>
      </c>
      <c r="B68" s="137"/>
      <c r="C68" s="137"/>
      <c r="D68" s="358"/>
      <c r="E68" s="359"/>
      <c r="F68" s="360"/>
      <c r="G68" s="180"/>
      <c r="H68" s="153" t="str">
        <f>IF(OR(D68="",D68=""),"",VLOOKUP(D68,'price and cost sheet'!C:F,2,0))</f>
        <v/>
      </c>
      <c r="I68" s="157" t="s">
        <v>503</v>
      </c>
      <c r="J68" s="158" t="str">
        <f t="shared" si="1"/>
        <v/>
      </c>
      <c r="K68" s="153" t="str">
        <f>IF(OR(D68="",D68=""),"",VLOOKUP(D68,'price and cost sheet'!C:F,4,0))</f>
        <v/>
      </c>
      <c r="R68" s="184" t="str">
        <f>IF(OR(D68="",D68=""),"",VLOOKUP(D68,'price and cost sheet'!$C:$F,3,0))</f>
        <v/>
      </c>
    </row>
    <row r="69" spans="1:18" ht="24" customHeight="1">
      <c r="A69" s="151">
        <v>28</v>
      </c>
      <c r="B69" s="137"/>
      <c r="C69" s="137"/>
      <c r="D69" s="358"/>
      <c r="E69" s="359"/>
      <c r="F69" s="360"/>
      <c r="G69" s="180"/>
      <c r="H69" s="153" t="str">
        <f>IF(OR(D69="",D69=""),"",VLOOKUP(D69,'price and cost sheet'!C:F,2,0))</f>
        <v/>
      </c>
      <c r="I69" s="157" t="s">
        <v>503</v>
      </c>
      <c r="J69" s="158" t="str">
        <f t="shared" si="1"/>
        <v/>
      </c>
      <c r="K69" s="153" t="str">
        <f>IF(OR(D69="",D69=""),"",VLOOKUP(D69,'price and cost sheet'!C:F,4,0))</f>
        <v/>
      </c>
      <c r="R69" s="184" t="str">
        <f>IF(OR(D69="",D69=""),"",VLOOKUP(D69,'price and cost sheet'!$C:$F,3,0))</f>
        <v/>
      </c>
    </row>
    <row r="70" spans="1:18" ht="24" customHeight="1">
      <c r="A70" s="151">
        <v>29</v>
      </c>
      <c r="B70" s="137"/>
      <c r="C70" s="137"/>
      <c r="D70" s="358"/>
      <c r="E70" s="359"/>
      <c r="F70" s="360"/>
      <c r="G70" s="180"/>
      <c r="H70" s="153" t="str">
        <f>IF(OR(D70="",D70=""),"",VLOOKUP(D70,'price and cost sheet'!C:F,2,0))</f>
        <v/>
      </c>
      <c r="I70" s="157" t="s">
        <v>503</v>
      </c>
      <c r="J70" s="158" t="str">
        <f t="shared" si="1"/>
        <v/>
      </c>
      <c r="K70" s="153" t="str">
        <f>IF(OR(D70="",D70=""),"",VLOOKUP(D70,'price and cost sheet'!C:F,4,0))</f>
        <v/>
      </c>
      <c r="R70" s="184" t="str">
        <f>IF(OR(D70="",D70=""),"",VLOOKUP(D70,'price and cost sheet'!$C:$F,3,0))</f>
        <v/>
      </c>
    </row>
    <row r="71" spans="1:18" ht="24" customHeight="1">
      <c r="A71" s="151">
        <v>30</v>
      </c>
      <c r="B71" s="137"/>
      <c r="C71" s="137"/>
      <c r="D71" s="358"/>
      <c r="E71" s="359"/>
      <c r="F71" s="360"/>
      <c r="G71" s="180"/>
      <c r="H71" s="153" t="str">
        <f>IF(OR(D71="",D71=""),"",VLOOKUP(D71,'price and cost sheet'!C:F,2,0))</f>
        <v/>
      </c>
      <c r="I71" s="157" t="s">
        <v>503</v>
      </c>
      <c r="J71" s="158" t="str">
        <f t="shared" si="1"/>
        <v/>
      </c>
      <c r="K71" s="153" t="str">
        <f>IF(OR(D71="",D71=""),"",VLOOKUP(D71,'price and cost sheet'!C:F,4,0))</f>
        <v/>
      </c>
      <c r="R71" s="184" t="str">
        <f>IF(OR(D71="",D71=""),"",VLOOKUP(D71,'price and cost sheet'!$C:$F,3,0))</f>
        <v/>
      </c>
    </row>
    <row r="72" spans="1:18" ht="24" customHeight="1">
      <c r="A72" s="151">
        <v>31</v>
      </c>
      <c r="B72" s="137"/>
      <c r="C72" s="137"/>
      <c r="D72" s="358"/>
      <c r="E72" s="359"/>
      <c r="F72" s="360"/>
      <c r="G72" s="180"/>
      <c r="H72" s="153" t="str">
        <f>IF(OR(D72="",D72=""),"",VLOOKUP(D72,'price and cost sheet'!C:F,2,0))</f>
        <v/>
      </c>
      <c r="I72" s="157" t="s">
        <v>503</v>
      </c>
      <c r="J72" s="158" t="str">
        <f t="shared" si="1"/>
        <v/>
      </c>
      <c r="K72" s="153" t="str">
        <f>IF(OR(D72="",D72=""),"",VLOOKUP(D72,'price and cost sheet'!C:F,4,0))</f>
        <v/>
      </c>
      <c r="R72" s="184" t="str">
        <f>IF(OR(D72="",D72=""),"",VLOOKUP(D72,'price and cost sheet'!$C:$F,3,0))</f>
        <v/>
      </c>
    </row>
    <row r="73" spans="1:18" ht="24" customHeight="1">
      <c r="A73" s="151">
        <v>32</v>
      </c>
      <c r="B73" s="137"/>
      <c r="C73" s="137"/>
      <c r="D73" s="358"/>
      <c r="E73" s="359"/>
      <c r="F73" s="360"/>
      <c r="G73" s="180"/>
      <c r="H73" s="153" t="str">
        <f>IF(OR(D73="",D73=""),"",VLOOKUP(D73,'price and cost sheet'!C:F,2,0))</f>
        <v/>
      </c>
      <c r="I73" s="157" t="s">
        <v>503</v>
      </c>
      <c r="J73" s="158" t="str">
        <f t="shared" si="1"/>
        <v/>
      </c>
      <c r="K73" s="153" t="str">
        <f>IF(OR(D73="",D73=""),"",VLOOKUP(D73,'price and cost sheet'!C:F,4,0))</f>
        <v/>
      </c>
      <c r="R73" s="184" t="str">
        <f>IF(OR(D73="",D73=""),"",VLOOKUP(D73,'price and cost sheet'!$C:$F,3,0))</f>
        <v/>
      </c>
    </row>
    <row r="74" spans="1:18" ht="24" customHeight="1">
      <c r="A74" s="151">
        <v>33</v>
      </c>
      <c r="B74" s="137"/>
      <c r="C74" s="137"/>
      <c r="D74" s="358"/>
      <c r="E74" s="359"/>
      <c r="F74" s="360"/>
      <c r="G74" s="180"/>
      <c r="H74" s="153" t="str">
        <f>IF(OR(D74="",D74=""),"",VLOOKUP(D74,'price and cost sheet'!C:F,2,0))</f>
        <v/>
      </c>
      <c r="I74" s="157" t="s">
        <v>503</v>
      </c>
      <c r="J74" s="158" t="str">
        <f t="shared" si="1"/>
        <v/>
      </c>
      <c r="K74" s="153" t="str">
        <f>IF(OR(D74="",D74=""),"",VLOOKUP(D74,'price and cost sheet'!C:F,4,0))</f>
        <v/>
      </c>
      <c r="R74" s="184" t="str">
        <f>IF(OR(D74="",D74=""),"",VLOOKUP(D74,'price and cost sheet'!$C:$F,3,0))</f>
        <v/>
      </c>
    </row>
    <row r="75" spans="1:18" ht="24" customHeight="1">
      <c r="A75" s="151">
        <v>34</v>
      </c>
      <c r="B75" s="137"/>
      <c r="C75" s="137"/>
      <c r="D75" s="358"/>
      <c r="E75" s="359"/>
      <c r="F75" s="360"/>
      <c r="G75" s="180"/>
      <c r="H75" s="153" t="str">
        <f>IF(OR(D75="",D75=""),"",VLOOKUP(D75,'price and cost sheet'!C:F,2,0))</f>
        <v/>
      </c>
      <c r="I75" s="157" t="s">
        <v>503</v>
      </c>
      <c r="J75" s="158" t="str">
        <f t="shared" si="1"/>
        <v/>
      </c>
      <c r="K75" s="153" t="str">
        <f>IF(OR(D75="",D75=""),"",VLOOKUP(D75,'price and cost sheet'!C:F,4,0))</f>
        <v/>
      </c>
      <c r="R75" s="184" t="str">
        <f>IF(OR(D75="",D75=""),"",VLOOKUP(D75,'price and cost sheet'!$C:$F,3,0))</f>
        <v/>
      </c>
    </row>
    <row r="76" spans="1:18" ht="24" customHeight="1">
      <c r="A76" s="151">
        <v>35</v>
      </c>
      <c r="B76" s="137"/>
      <c r="C76" s="137"/>
      <c r="D76" s="358"/>
      <c r="E76" s="359"/>
      <c r="F76" s="360"/>
      <c r="G76" s="180"/>
      <c r="H76" s="153" t="str">
        <f>IF(OR(D76="",D76=""),"",VLOOKUP(D76,'price and cost sheet'!C:F,2,0))</f>
        <v/>
      </c>
      <c r="I76" s="157" t="s">
        <v>503</v>
      </c>
      <c r="J76" s="158" t="str">
        <f t="shared" si="1"/>
        <v/>
      </c>
      <c r="K76" s="153" t="str">
        <f>IF(OR(D76="",D76=""),"",VLOOKUP(D76,'price and cost sheet'!C:F,4,0))</f>
        <v/>
      </c>
      <c r="R76" s="184" t="str">
        <f>IF(OR(D76="",D76=""),"",VLOOKUP(D76,'price and cost sheet'!$C:$F,3,0))</f>
        <v/>
      </c>
    </row>
    <row r="77" spans="1:18" ht="24" customHeight="1">
      <c r="A77" s="151">
        <v>36</v>
      </c>
      <c r="B77" s="137"/>
      <c r="C77" s="137"/>
      <c r="D77" s="358"/>
      <c r="E77" s="359"/>
      <c r="F77" s="360"/>
      <c r="G77" s="180"/>
      <c r="H77" s="153" t="str">
        <f>IF(OR(D77="",D77=""),"",VLOOKUP(D77,'price and cost sheet'!C:F,2,0))</f>
        <v/>
      </c>
      <c r="I77" s="157" t="s">
        <v>503</v>
      </c>
      <c r="J77" s="158" t="str">
        <f t="shared" si="1"/>
        <v/>
      </c>
      <c r="K77" s="153" t="str">
        <f>IF(OR(D77="",D77=""),"",VLOOKUP(D77,'price and cost sheet'!C:F,4,0))</f>
        <v/>
      </c>
      <c r="R77" s="184" t="str">
        <f>IF(OR(D77="",D77=""),"",VLOOKUP(D77,'price and cost sheet'!$C:$F,3,0))</f>
        <v/>
      </c>
    </row>
    <row r="78" spans="1:18" ht="24" customHeight="1">
      <c r="A78" s="151">
        <v>37</v>
      </c>
      <c r="B78" s="137"/>
      <c r="C78" s="137"/>
      <c r="D78" s="358"/>
      <c r="E78" s="359"/>
      <c r="F78" s="360"/>
      <c r="G78" s="180"/>
      <c r="H78" s="153" t="str">
        <f>IF(OR(D78="",D78=""),"",VLOOKUP(D78,'price and cost sheet'!C:F,2,0))</f>
        <v/>
      </c>
      <c r="I78" s="157" t="s">
        <v>503</v>
      </c>
      <c r="J78" s="158" t="str">
        <f t="shared" si="1"/>
        <v/>
      </c>
      <c r="K78" s="153" t="str">
        <f>IF(OR(D78="",D78=""),"",VLOOKUP(D78,'price and cost sheet'!C:F,4,0))</f>
        <v/>
      </c>
      <c r="R78" s="184" t="str">
        <f>IF(OR(D78="",D78=""),"",VLOOKUP(D78,'price and cost sheet'!$C:$F,3,0))</f>
        <v/>
      </c>
    </row>
    <row r="79" spans="1:18" ht="24" customHeight="1">
      <c r="A79" s="151">
        <v>38</v>
      </c>
      <c r="B79" s="137"/>
      <c r="C79" s="137"/>
      <c r="D79" s="358"/>
      <c r="E79" s="359"/>
      <c r="F79" s="360"/>
      <c r="G79" s="180"/>
      <c r="H79" s="153" t="str">
        <f>IF(OR(D79="",D79=""),"",VLOOKUP(D79,'price and cost sheet'!C:F,2,0))</f>
        <v/>
      </c>
      <c r="I79" s="157" t="s">
        <v>503</v>
      </c>
      <c r="J79" s="158" t="str">
        <f t="shared" si="1"/>
        <v/>
      </c>
      <c r="K79" s="153" t="str">
        <f>IF(OR(D79="",D79=""),"",VLOOKUP(D79,'price and cost sheet'!C:F,4,0))</f>
        <v/>
      </c>
      <c r="R79" s="184" t="str">
        <f>IF(OR(D79="",D79=""),"",VLOOKUP(D79,'price and cost sheet'!$C:$F,3,0))</f>
        <v/>
      </c>
    </row>
    <row r="80" spans="1:18" ht="24" customHeight="1">
      <c r="A80" s="151">
        <v>39</v>
      </c>
      <c r="B80" s="137"/>
      <c r="C80" s="137"/>
      <c r="D80" s="358"/>
      <c r="E80" s="359"/>
      <c r="F80" s="360"/>
      <c r="G80" s="180"/>
      <c r="H80" s="153" t="str">
        <f>IF(OR(D80="",D80=""),"",VLOOKUP(D80,'price and cost sheet'!C:F,2,0))</f>
        <v/>
      </c>
      <c r="I80" s="157" t="s">
        <v>503</v>
      </c>
      <c r="J80" s="158" t="str">
        <f t="shared" si="1"/>
        <v/>
      </c>
      <c r="K80" s="153" t="str">
        <f>IF(OR(D80="",D80=""),"",VLOOKUP(D80,'price and cost sheet'!C:F,4,0))</f>
        <v/>
      </c>
      <c r="R80" s="184" t="str">
        <f>IF(OR(D80="",D80=""),"",VLOOKUP(D80,'price and cost sheet'!$C:$F,3,0))</f>
        <v/>
      </c>
    </row>
    <row r="81" spans="1:20" ht="24" customHeight="1">
      <c r="A81" s="151">
        <v>40</v>
      </c>
      <c r="B81" s="137"/>
      <c r="C81" s="137"/>
      <c r="D81" s="358"/>
      <c r="E81" s="359"/>
      <c r="F81" s="360"/>
      <c r="G81" s="180"/>
      <c r="H81" s="153" t="str">
        <f>IF(OR(D81="",D81=""),"",VLOOKUP(D81,'price and cost sheet'!C:F,2,0))</f>
        <v/>
      </c>
      <c r="I81" s="157" t="s">
        <v>503</v>
      </c>
      <c r="J81" s="158" t="str">
        <f t="shared" si="1"/>
        <v/>
      </c>
      <c r="K81" s="153" t="str">
        <f>IF(OR(D81="",D81=""),"",VLOOKUP(D81,'price and cost sheet'!C:F,4,0))</f>
        <v/>
      </c>
      <c r="R81" s="184" t="str">
        <f>IF(OR(D81="",D81=""),"",VLOOKUP(D81,'price and cost sheet'!$C:$F,3,0))</f>
        <v/>
      </c>
    </row>
    <row r="82" spans="1:20" ht="24" customHeight="1">
      <c r="A82" s="167"/>
      <c r="B82" s="353" t="s">
        <v>504</v>
      </c>
      <c r="C82" s="354"/>
      <c r="D82" s="355"/>
      <c r="E82" s="356"/>
      <c r="F82" s="357"/>
      <c r="G82" s="169"/>
      <c r="H82" s="167"/>
      <c r="I82" s="167"/>
      <c r="J82" s="177">
        <f>SUM(J42:J81)*0.95</f>
        <v>0</v>
      </c>
      <c r="K82" s="153"/>
    </row>
    <row r="83" spans="1:20" ht="24" customHeight="1">
      <c r="A83" s="167"/>
      <c r="B83" s="353" t="s">
        <v>505</v>
      </c>
      <c r="C83" s="354"/>
      <c r="D83" s="355"/>
      <c r="E83" s="356"/>
      <c r="F83" s="357"/>
      <c r="G83" s="169"/>
      <c r="H83" s="167"/>
      <c r="I83" s="167"/>
      <c r="J83" s="177">
        <f>J35+J82</f>
        <v>0</v>
      </c>
      <c r="K83" s="153"/>
    </row>
    <row r="84" spans="1:20" ht="15.6">
      <c r="K84"/>
    </row>
    <row r="85" spans="1:20" ht="15.6">
      <c r="K85"/>
    </row>
    <row r="86" spans="1:20" ht="15.6">
      <c r="K86"/>
    </row>
    <row r="87" spans="1:20" ht="15.6">
      <c r="E87" s="170"/>
      <c r="F87" s="170"/>
      <c r="K87"/>
    </row>
    <row r="88" spans="1:20" ht="15.6">
      <c r="B88" s="170" t="s">
        <v>506</v>
      </c>
      <c r="C88" s="170" t="s">
        <v>507</v>
      </c>
      <c r="D88" s="170" t="s">
        <v>508</v>
      </c>
      <c r="E88" s="170" t="s">
        <v>509</v>
      </c>
      <c r="F88" s="170" t="s">
        <v>510</v>
      </c>
      <c r="G88" s="130" t="s">
        <v>511</v>
      </c>
      <c r="H88" s="130" t="s">
        <v>512</v>
      </c>
      <c r="I88" s="130" t="s">
        <v>513</v>
      </c>
      <c r="K88"/>
    </row>
    <row r="89" spans="1:20" ht="15.6">
      <c r="A89" s="170" t="s">
        <v>514</v>
      </c>
      <c r="B89" s="161">
        <f>$F$4</f>
        <v>0</v>
      </c>
      <c r="C89" s="161">
        <f>'Signatures that need to be read'!$D$6</f>
        <v>0</v>
      </c>
      <c r="D89" s="161">
        <f>$I$4</f>
        <v>0</v>
      </c>
      <c r="E89" s="171">
        <f>$B$7</f>
        <v>0</v>
      </c>
      <c r="F89" s="171">
        <f>$C$7</f>
        <v>0</v>
      </c>
      <c r="G89" s="130">
        <f>$J$83</f>
        <v>0</v>
      </c>
      <c r="H89" s="130">
        <f>$J$35</f>
        <v>0</v>
      </c>
      <c r="I89" s="130">
        <f>$J$82</f>
        <v>0</v>
      </c>
      <c r="K89"/>
    </row>
    <row r="90" spans="1:20" ht="15.6">
      <c r="A90" s="170"/>
      <c r="C90" s="161"/>
      <c r="E90" s="171"/>
      <c r="F90" s="171"/>
      <c r="K90"/>
    </row>
    <row r="91" spans="1:20" ht="64.95" customHeight="1">
      <c r="H91" s="167" t="s">
        <v>511</v>
      </c>
      <c r="I91" s="167" t="s">
        <v>512</v>
      </c>
      <c r="J91" s="167" t="s">
        <v>513</v>
      </c>
      <c r="K91" s="167" t="s">
        <v>515</v>
      </c>
      <c r="L91" s="167" t="s">
        <v>516</v>
      </c>
      <c r="M91" s="167" t="s">
        <v>517</v>
      </c>
      <c r="N91" s="167" t="s">
        <v>518</v>
      </c>
      <c r="O91" s="167" t="s">
        <v>519</v>
      </c>
      <c r="P91" s="167" t="s">
        <v>520</v>
      </c>
      <c r="Q91" s="167" t="s">
        <v>521</v>
      </c>
      <c r="R91" s="172" t="s">
        <v>522</v>
      </c>
      <c r="S91" s="167"/>
      <c r="T91" s="167"/>
    </row>
    <row r="92" spans="1:20"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</row>
    <row r="93" spans="1:20">
      <c r="A93" s="172" t="s">
        <v>514</v>
      </c>
      <c r="B93" s="167">
        <f>$F$4</f>
        <v>0</v>
      </c>
      <c r="C93" s="167">
        <f>'Signatures that need to be read'!$D$6</f>
        <v>0</v>
      </c>
      <c r="D93" s="167">
        <f>$I$4</f>
        <v>0</v>
      </c>
      <c r="E93" s="173"/>
      <c r="F93" s="167"/>
      <c r="G93" s="167"/>
      <c r="H93" s="167">
        <f t="shared" ref="H93:H102" si="2">I93+J93</f>
        <v>0</v>
      </c>
      <c r="I93" s="167">
        <f>J35</f>
        <v>0</v>
      </c>
      <c r="J93" s="167">
        <f>SUM(K93:Q93)</f>
        <v>0</v>
      </c>
      <c r="K93" s="167">
        <f t="shared" ref="K93:P93" si="3">IF(COUNTIFS($D$42:$F$81,K91)&lt;&gt;0,VLOOKUP(K91,$D$42:$K$81,7,0),0)</f>
        <v>0</v>
      </c>
      <c r="L93" s="167">
        <f t="shared" si="3"/>
        <v>0</v>
      </c>
      <c r="M93" s="167">
        <f t="shared" si="3"/>
        <v>0</v>
      </c>
      <c r="N93" s="167">
        <f t="shared" si="3"/>
        <v>0</v>
      </c>
      <c r="O93" s="167">
        <f t="shared" si="3"/>
        <v>0</v>
      </c>
      <c r="P93" s="167">
        <f t="shared" si="3"/>
        <v>0</v>
      </c>
      <c r="Q93" s="167">
        <f>SUM(J42:J81)-SUM(K93:P93)</f>
        <v>0</v>
      </c>
      <c r="R93" s="167">
        <f>SUM(J7:J34)+SUM(J42:J81)-SUM(K93:P93)</f>
        <v>0</v>
      </c>
      <c r="S93" s="167"/>
      <c r="T93" s="167"/>
    </row>
    <row r="94" spans="1:20">
      <c r="A94" s="170"/>
      <c r="E94" s="174"/>
    </row>
    <row r="95" spans="1:20" ht="19.95" customHeight="1">
      <c r="B95" s="170" t="s">
        <v>506</v>
      </c>
      <c r="C95" s="170" t="s">
        <v>507</v>
      </c>
      <c r="D95" s="170" t="s">
        <v>508</v>
      </c>
      <c r="E95" s="170" t="s">
        <v>523</v>
      </c>
      <c r="F95" s="170" t="s">
        <v>509</v>
      </c>
      <c r="G95" s="170" t="s">
        <v>510</v>
      </c>
      <c r="H95" s="130" t="s">
        <v>511</v>
      </c>
      <c r="I95" s="130" t="s">
        <v>512</v>
      </c>
      <c r="J95" s="130" t="s">
        <v>513</v>
      </c>
    </row>
    <row r="96" spans="1:20" ht="19.95" customHeight="1">
      <c r="A96" s="172" t="s">
        <v>514</v>
      </c>
      <c r="B96" s="169">
        <f t="shared" ref="B96:B102" si="4">$B$89</f>
        <v>0</v>
      </c>
      <c r="C96" s="169">
        <f t="shared" ref="C96:C102" si="5">$C$89</f>
        <v>0</v>
      </c>
      <c r="D96" s="169">
        <f t="shared" ref="D96:D102" si="6">$D$89</f>
        <v>0</v>
      </c>
      <c r="E96" s="167" t="s">
        <v>515</v>
      </c>
      <c r="F96" s="175">
        <f t="shared" ref="F96:F102" si="7">$E$89</f>
        <v>0</v>
      </c>
      <c r="G96" s="175">
        <f t="shared" ref="G96:G102" si="8">$F$89</f>
        <v>0</v>
      </c>
      <c r="H96" s="176">
        <f t="shared" si="2"/>
        <v>0</v>
      </c>
      <c r="I96" s="176">
        <v>0</v>
      </c>
      <c r="J96" s="176">
        <f>$K$93</f>
        <v>0</v>
      </c>
    </row>
    <row r="97" spans="1:10" ht="19.95" customHeight="1">
      <c r="A97" s="172" t="s">
        <v>514</v>
      </c>
      <c r="B97" s="169">
        <f t="shared" si="4"/>
        <v>0</v>
      </c>
      <c r="C97" s="169">
        <f t="shared" si="5"/>
        <v>0</v>
      </c>
      <c r="D97" s="169">
        <f t="shared" si="6"/>
        <v>0</v>
      </c>
      <c r="E97" s="167" t="s">
        <v>516</v>
      </c>
      <c r="F97" s="175">
        <f t="shared" si="7"/>
        <v>0</v>
      </c>
      <c r="G97" s="175">
        <f t="shared" si="8"/>
        <v>0</v>
      </c>
      <c r="H97" s="176">
        <f t="shared" si="2"/>
        <v>0</v>
      </c>
      <c r="I97" s="176">
        <v>0</v>
      </c>
      <c r="J97" s="176">
        <f>$L$93</f>
        <v>0</v>
      </c>
    </row>
    <row r="98" spans="1:10" ht="19.95" customHeight="1">
      <c r="A98" s="172" t="s">
        <v>514</v>
      </c>
      <c r="B98" s="169">
        <f t="shared" si="4"/>
        <v>0</v>
      </c>
      <c r="C98" s="169">
        <f t="shared" si="5"/>
        <v>0</v>
      </c>
      <c r="D98" s="169">
        <f t="shared" si="6"/>
        <v>0</v>
      </c>
      <c r="E98" s="167" t="s">
        <v>517</v>
      </c>
      <c r="F98" s="175">
        <f t="shared" si="7"/>
        <v>0</v>
      </c>
      <c r="G98" s="175">
        <f t="shared" si="8"/>
        <v>0</v>
      </c>
      <c r="H98" s="176">
        <f t="shared" si="2"/>
        <v>0</v>
      </c>
      <c r="I98" s="176">
        <v>0</v>
      </c>
      <c r="J98" s="176">
        <f>$M$93</f>
        <v>0</v>
      </c>
    </row>
    <row r="99" spans="1:10" ht="19.95" customHeight="1">
      <c r="A99" s="172" t="s">
        <v>514</v>
      </c>
      <c r="B99" s="169">
        <f t="shared" si="4"/>
        <v>0</v>
      </c>
      <c r="C99" s="169">
        <f t="shared" si="5"/>
        <v>0</v>
      </c>
      <c r="D99" s="169">
        <f t="shared" si="6"/>
        <v>0</v>
      </c>
      <c r="E99" s="167" t="s">
        <v>518</v>
      </c>
      <c r="F99" s="175">
        <f t="shared" si="7"/>
        <v>0</v>
      </c>
      <c r="G99" s="175">
        <f t="shared" si="8"/>
        <v>0</v>
      </c>
      <c r="H99" s="176">
        <f t="shared" si="2"/>
        <v>0</v>
      </c>
      <c r="I99" s="176">
        <v>0</v>
      </c>
      <c r="J99" s="176">
        <f>$N$93</f>
        <v>0</v>
      </c>
    </row>
    <row r="100" spans="1:10" ht="19.95" customHeight="1">
      <c r="A100" s="172" t="s">
        <v>514</v>
      </c>
      <c r="B100" s="169">
        <f t="shared" si="4"/>
        <v>0</v>
      </c>
      <c r="C100" s="169">
        <f t="shared" si="5"/>
        <v>0</v>
      </c>
      <c r="D100" s="169">
        <f t="shared" si="6"/>
        <v>0</v>
      </c>
      <c r="E100" s="167" t="s">
        <v>519</v>
      </c>
      <c r="F100" s="175">
        <f t="shared" si="7"/>
        <v>0</v>
      </c>
      <c r="G100" s="175">
        <f t="shared" si="8"/>
        <v>0</v>
      </c>
      <c r="H100" s="176">
        <f t="shared" si="2"/>
        <v>0</v>
      </c>
      <c r="I100" s="176">
        <v>0</v>
      </c>
      <c r="J100" s="176">
        <f>$O$93</f>
        <v>0</v>
      </c>
    </row>
    <row r="101" spans="1:10" ht="19.95" customHeight="1">
      <c r="A101" s="172" t="s">
        <v>514</v>
      </c>
      <c r="B101" s="169">
        <f t="shared" si="4"/>
        <v>0</v>
      </c>
      <c r="C101" s="169">
        <f t="shared" si="5"/>
        <v>0</v>
      </c>
      <c r="D101" s="169">
        <f t="shared" si="6"/>
        <v>0</v>
      </c>
      <c r="E101" s="167" t="s">
        <v>520</v>
      </c>
      <c r="F101" s="175">
        <f t="shared" si="7"/>
        <v>0</v>
      </c>
      <c r="G101" s="175">
        <f t="shared" si="8"/>
        <v>0</v>
      </c>
      <c r="H101" s="176">
        <f t="shared" si="2"/>
        <v>0</v>
      </c>
      <c r="I101" s="176">
        <v>0</v>
      </c>
      <c r="J101" s="176">
        <f>$P$93</f>
        <v>0</v>
      </c>
    </row>
    <row r="102" spans="1:10" ht="19.95" customHeight="1">
      <c r="A102" s="172" t="s">
        <v>514</v>
      </c>
      <c r="B102" s="169">
        <f t="shared" si="4"/>
        <v>0</v>
      </c>
      <c r="C102" s="169">
        <f t="shared" si="5"/>
        <v>0</v>
      </c>
      <c r="D102" s="169">
        <f t="shared" si="6"/>
        <v>0</v>
      </c>
      <c r="E102" s="172" t="s">
        <v>524</v>
      </c>
      <c r="F102" s="175">
        <f t="shared" si="7"/>
        <v>0</v>
      </c>
      <c r="G102" s="175">
        <f t="shared" si="8"/>
        <v>0</v>
      </c>
      <c r="H102" s="176">
        <f t="shared" si="2"/>
        <v>0</v>
      </c>
      <c r="I102" s="176">
        <f>I93</f>
        <v>0</v>
      </c>
      <c r="J102" s="176">
        <f>$Q$93</f>
        <v>0</v>
      </c>
    </row>
  </sheetData>
  <sheetProtection formatCells="0" formatColumns="0" formatRows="0"/>
  <mergeCells count="98">
    <mergeCell ref="A1:B1"/>
    <mergeCell ref="A2:J2"/>
    <mergeCell ref="A3:J3"/>
    <mergeCell ref="B4:C4"/>
    <mergeCell ref="D4:E4"/>
    <mergeCell ref="G4:H4"/>
    <mergeCell ref="I4:J4"/>
    <mergeCell ref="B5:C5"/>
    <mergeCell ref="G5:J5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2:F32"/>
    <mergeCell ref="D33:F33"/>
    <mergeCell ref="D34:F34"/>
    <mergeCell ref="B35:C35"/>
    <mergeCell ref="D35:F35"/>
    <mergeCell ref="A36:B36"/>
    <mergeCell ref="A37:J37"/>
    <mergeCell ref="A38:J38"/>
    <mergeCell ref="B39:C39"/>
    <mergeCell ref="D39:E39"/>
    <mergeCell ref="G39:H39"/>
    <mergeCell ref="I39:J39"/>
    <mergeCell ref="B40:C40"/>
    <mergeCell ref="G40:J40"/>
    <mergeCell ref="D42:F42"/>
    <mergeCell ref="D43:F43"/>
    <mergeCell ref="D44:F44"/>
    <mergeCell ref="D45:F45"/>
    <mergeCell ref="D46:F46"/>
    <mergeCell ref="D47:F47"/>
    <mergeCell ref="D48:F48"/>
    <mergeCell ref="D49:F49"/>
    <mergeCell ref="D50:F50"/>
    <mergeCell ref="D51:F51"/>
    <mergeCell ref="D59:F59"/>
    <mergeCell ref="D60:F60"/>
    <mergeCell ref="D61:F61"/>
    <mergeCell ref="D52:F52"/>
    <mergeCell ref="D53:F53"/>
    <mergeCell ref="D54:F54"/>
    <mergeCell ref="D55:F55"/>
    <mergeCell ref="D56:F56"/>
    <mergeCell ref="B83:C83"/>
    <mergeCell ref="D83:F83"/>
    <mergeCell ref="A5:A6"/>
    <mergeCell ref="A40:A41"/>
    <mergeCell ref="D77:F77"/>
    <mergeCell ref="D78:F78"/>
    <mergeCell ref="D79:F79"/>
    <mergeCell ref="D80:F80"/>
    <mergeCell ref="D81:F81"/>
    <mergeCell ref="D72:F72"/>
    <mergeCell ref="D73:F73"/>
    <mergeCell ref="D74:F74"/>
    <mergeCell ref="D75:F75"/>
    <mergeCell ref="D76:F76"/>
    <mergeCell ref="D67:F67"/>
    <mergeCell ref="D68:F68"/>
    <mergeCell ref="K5:K6"/>
    <mergeCell ref="K40:K41"/>
    <mergeCell ref="D5:F6"/>
    <mergeCell ref="D40:F41"/>
    <mergeCell ref="B82:C82"/>
    <mergeCell ref="D82:F82"/>
    <mergeCell ref="D69:F69"/>
    <mergeCell ref="D70:F70"/>
    <mergeCell ref="D71:F71"/>
    <mergeCell ref="D62:F62"/>
    <mergeCell ref="D63:F63"/>
    <mergeCell ref="D64:F64"/>
    <mergeCell ref="D65:F65"/>
    <mergeCell ref="D66:F66"/>
    <mergeCell ref="D57:F57"/>
    <mergeCell ref="D58:F58"/>
  </mergeCells>
  <dataValidations count="1">
    <dataValidation allowBlank="1" showInputMessage="1" showErrorMessage="1" sqref="D7:F16 D17:F26 D27:F34 D49:F61 D62:F81 D42:F45 D46:F48" xr:uid="{00000000-0002-0000-0700-000000000000}"/>
  </dataValidations>
  <printOptions horizontalCentered="1" verticalCentered="1"/>
  <pageMargins left="0.39" right="0.39" top="0.39" bottom="0.39" header="0.51" footer="0.51"/>
  <pageSetup paperSize="9" scale="63" orientation="portrait" r:id="rId1"/>
  <headerFooter alignWithMargins="0"/>
  <rowBreaks count="1" manualBreakCount="1">
    <brk id="35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indexed="10"/>
  </sheetPr>
  <dimension ref="A1:T122"/>
  <sheetViews>
    <sheetView view="pageBreakPreview" topLeftCell="A39" zoomScaleNormal="115" workbookViewId="0">
      <selection activeCell="J97" sqref="J97"/>
    </sheetView>
  </sheetViews>
  <sheetFormatPr defaultColWidth="9" defaultRowHeight="11.4"/>
  <cols>
    <col min="1" max="1" width="4.5" style="130" customWidth="1"/>
    <col min="2" max="2" width="9.5" style="130" customWidth="1"/>
    <col min="3" max="3" width="10.69921875" style="130" customWidth="1"/>
    <col min="4" max="4" width="6.09765625" style="130" customWidth="1"/>
    <col min="5" max="5" width="8.5" style="130" customWidth="1"/>
    <col min="6" max="6" width="15.19921875" style="130"/>
    <col min="7" max="7" width="10.3984375" style="130"/>
    <col min="8" max="8" width="7.8984375" style="130" customWidth="1"/>
    <col min="9" max="9" width="12.09765625" style="130" customWidth="1"/>
    <col min="10" max="10" width="13" style="130" customWidth="1"/>
    <col min="11" max="11" width="14.59765625" style="130" customWidth="1"/>
    <col min="12" max="16" width="9" style="130"/>
    <col min="17" max="18" width="10.3984375" style="130"/>
    <col min="19" max="19" width="9.09765625" style="130" customWidth="1"/>
    <col min="20" max="16384" width="9" style="130"/>
  </cols>
  <sheetData>
    <row r="1" spans="1:15" ht="29.25" customHeight="1">
      <c r="A1" s="392"/>
      <c r="B1" s="393"/>
      <c r="C1" s="131"/>
      <c r="D1" s="131"/>
      <c r="E1" s="131"/>
      <c r="F1" s="131"/>
      <c r="G1" s="131"/>
      <c r="H1" s="131"/>
      <c r="I1" s="131"/>
      <c r="J1" s="131"/>
      <c r="K1" s="154"/>
    </row>
    <row r="2" spans="1:15" s="128" customFormat="1" ht="20.399999999999999">
      <c r="A2" s="394" t="s">
        <v>486</v>
      </c>
      <c r="B2" s="375"/>
      <c r="C2" s="375"/>
      <c r="D2" s="375"/>
      <c r="E2" s="375"/>
      <c r="F2" s="375"/>
      <c r="G2" s="375"/>
      <c r="H2" s="375"/>
      <c r="I2" s="375"/>
      <c r="J2" s="375"/>
      <c r="K2" s="155"/>
    </row>
    <row r="3" spans="1:15" s="128" customFormat="1" ht="22.8">
      <c r="A3" s="395" t="s">
        <v>487</v>
      </c>
      <c r="B3" s="377"/>
      <c r="C3" s="377"/>
      <c r="D3" s="377"/>
      <c r="E3" s="377"/>
      <c r="F3" s="377"/>
      <c r="G3" s="377"/>
      <c r="H3" s="377"/>
      <c r="I3" s="377"/>
      <c r="J3" s="377"/>
      <c r="K3" s="155"/>
    </row>
    <row r="4" spans="1:15" ht="30" customHeight="1">
      <c r="A4" s="132" t="s">
        <v>488</v>
      </c>
      <c r="B4" s="366"/>
      <c r="C4" s="367"/>
      <c r="D4" s="368" t="s">
        <v>489</v>
      </c>
      <c r="E4" s="369"/>
      <c r="F4" s="133"/>
      <c r="G4" s="368" t="s">
        <v>490</v>
      </c>
      <c r="H4" s="369"/>
      <c r="I4" s="366" t="e">
        <f>IF(OR(N8=""),"",N8)</f>
        <v>#N/A</v>
      </c>
      <c r="J4" s="367"/>
      <c r="K4" s="156" t="s">
        <v>491</v>
      </c>
    </row>
    <row r="5" spans="1:15" s="129" customFormat="1" ht="18.75" customHeight="1">
      <c r="A5" s="381" t="s">
        <v>492</v>
      </c>
      <c r="B5" s="347" t="s">
        <v>493</v>
      </c>
      <c r="C5" s="349"/>
      <c r="D5" s="347" t="s">
        <v>494</v>
      </c>
      <c r="E5" s="348"/>
      <c r="F5" s="349"/>
      <c r="G5" s="370" t="s">
        <v>495</v>
      </c>
      <c r="H5" s="371"/>
      <c r="I5" s="371"/>
      <c r="J5" s="372"/>
      <c r="K5" s="383" t="s">
        <v>496</v>
      </c>
    </row>
    <row r="6" spans="1:15" s="129" customFormat="1" ht="22.5" customHeight="1">
      <c r="A6" s="382"/>
      <c r="B6" s="134" t="s">
        <v>497</v>
      </c>
      <c r="C6" s="134" t="s">
        <v>498</v>
      </c>
      <c r="D6" s="350"/>
      <c r="E6" s="351"/>
      <c r="F6" s="352"/>
      <c r="G6" s="135" t="s">
        <v>499</v>
      </c>
      <c r="H6" s="135" t="s">
        <v>500</v>
      </c>
      <c r="I6" s="135" t="s">
        <v>501</v>
      </c>
      <c r="J6" s="135" t="s">
        <v>502</v>
      </c>
      <c r="K6" s="384"/>
    </row>
    <row r="7" spans="1:15" ht="21.9" customHeight="1">
      <c r="A7" s="136">
        <v>1</v>
      </c>
      <c r="B7" s="137"/>
      <c r="C7" s="137"/>
      <c r="D7" s="358"/>
      <c r="E7" s="359"/>
      <c r="F7" s="360"/>
      <c r="G7" s="138"/>
      <c r="H7" s="139"/>
      <c r="I7" s="157"/>
      <c r="J7" s="158"/>
      <c r="K7" s="159"/>
      <c r="L7" s="160" t="s">
        <v>525</v>
      </c>
      <c r="M7" s="160" t="s">
        <v>526</v>
      </c>
      <c r="N7" s="160" t="s">
        <v>525</v>
      </c>
    </row>
    <row r="8" spans="1:15" ht="21.9" customHeight="1">
      <c r="A8" s="136">
        <v>2</v>
      </c>
      <c r="B8" s="137"/>
      <c r="C8" s="137"/>
      <c r="D8" s="358"/>
      <c r="E8" s="359"/>
      <c r="F8" s="360"/>
      <c r="G8" s="138"/>
      <c r="H8" s="139"/>
      <c r="I8" s="157"/>
      <c r="J8" s="158"/>
      <c r="K8" s="159"/>
      <c r="L8" s="87" t="e">
        <f>#REF!</f>
        <v>#REF!</v>
      </c>
      <c r="M8" s="87"/>
      <c r="N8" s="124" t="e">
        <f>PHONETIC(M8:M13)</f>
        <v>#N/A</v>
      </c>
    </row>
    <row r="9" spans="1:15" ht="21.9" customHeight="1">
      <c r="A9" s="136">
        <v>3</v>
      </c>
      <c r="B9" s="137"/>
      <c r="C9" s="137"/>
      <c r="D9" s="358"/>
      <c r="E9" s="359"/>
      <c r="F9" s="360"/>
      <c r="G9" s="138"/>
      <c r="H9" s="139"/>
      <c r="I9" s="157"/>
      <c r="J9" s="158"/>
      <c r="K9" s="159"/>
      <c r="L9" s="87">
        <f>'电子版收费单 (2)'!I4</f>
        <v>0</v>
      </c>
      <c r="M9" s="87">
        <v>0</v>
      </c>
      <c r="N9" s="87"/>
    </row>
    <row r="10" spans="1:15" ht="21.9" customHeight="1">
      <c r="A10" s="136">
        <v>4</v>
      </c>
      <c r="B10" s="137"/>
      <c r="C10" s="137"/>
      <c r="D10" s="358"/>
      <c r="E10" s="359"/>
      <c r="F10" s="360"/>
      <c r="G10" s="138"/>
      <c r="H10" s="139"/>
      <c r="I10" s="157"/>
      <c r="J10" s="158"/>
      <c r="K10" s="159"/>
      <c r="L10" s="87">
        <f>'电子版收费单 (3)'!I4</f>
        <v>0</v>
      </c>
      <c r="M10" s="87">
        <v>0</v>
      </c>
      <c r="N10" s="87"/>
    </row>
    <row r="11" spans="1:15" ht="21.9" customHeight="1">
      <c r="A11" s="136">
        <v>5</v>
      </c>
      <c r="B11" s="137"/>
      <c r="C11" s="137"/>
      <c r="D11" s="358"/>
      <c r="E11" s="359"/>
      <c r="F11" s="360"/>
      <c r="G11" s="138"/>
      <c r="H11" s="139"/>
      <c r="I11" s="157"/>
      <c r="J11" s="158"/>
      <c r="K11" s="159"/>
      <c r="L11" s="87">
        <f>'电子版收费单 (4)'!I4</f>
        <v>0</v>
      </c>
      <c r="M11" s="87">
        <v>0</v>
      </c>
      <c r="N11" s="87"/>
      <c r="O11" s="161"/>
    </row>
    <row r="12" spans="1:15" ht="21.9" customHeight="1">
      <c r="A12" s="136">
        <v>6</v>
      </c>
      <c r="B12" s="140"/>
      <c r="C12" s="140"/>
      <c r="D12" s="358"/>
      <c r="E12" s="359"/>
      <c r="F12" s="360"/>
      <c r="G12" s="138"/>
      <c r="H12" s="139"/>
      <c r="I12" s="157"/>
      <c r="J12" s="158"/>
      <c r="K12" s="159"/>
      <c r="L12" s="87">
        <f>'电子版收费单 (5)'!I4</f>
        <v>0</v>
      </c>
      <c r="M12" s="87">
        <v>0</v>
      </c>
      <c r="N12" s="87"/>
      <c r="O12" s="161"/>
    </row>
    <row r="13" spans="1:15" ht="21.9" customHeight="1">
      <c r="A13" s="136">
        <v>7</v>
      </c>
      <c r="B13" s="140"/>
      <c r="C13" s="140"/>
      <c r="D13" s="358"/>
      <c r="E13" s="359"/>
      <c r="F13" s="360"/>
      <c r="G13" s="138"/>
      <c r="H13" s="139"/>
      <c r="I13" s="157"/>
      <c r="J13" s="158"/>
      <c r="K13" s="159"/>
      <c r="L13" s="87">
        <f>'电子版收费单 (6)'!I4</f>
        <v>0</v>
      </c>
      <c r="M13" s="87">
        <v>0</v>
      </c>
      <c r="N13" s="87"/>
      <c r="O13" s="161"/>
    </row>
    <row r="14" spans="1:15" ht="21.9" customHeight="1">
      <c r="A14" s="136">
        <v>8</v>
      </c>
      <c r="B14" s="137"/>
      <c r="C14" s="137"/>
      <c r="D14" s="358"/>
      <c r="E14" s="359"/>
      <c r="F14" s="360"/>
      <c r="G14" s="138"/>
      <c r="H14" s="139"/>
      <c r="I14" s="157"/>
      <c r="J14" s="158"/>
      <c r="K14" s="159"/>
      <c r="N14" s="161"/>
      <c r="O14" s="161"/>
    </row>
    <row r="15" spans="1:15" ht="21.9" customHeight="1">
      <c r="A15" s="136">
        <v>9</v>
      </c>
      <c r="B15" s="137"/>
      <c r="C15" s="137"/>
      <c r="D15" s="358"/>
      <c r="E15" s="359"/>
      <c r="F15" s="360"/>
      <c r="G15" s="138"/>
      <c r="H15" s="139"/>
      <c r="I15" s="157"/>
      <c r="J15" s="158"/>
      <c r="K15" s="159"/>
    </row>
    <row r="16" spans="1:15" ht="21.9" customHeight="1">
      <c r="A16" s="136">
        <v>10</v>
      </c>
      <c r="B16" s="137"/>
      <c r="C16" s="137"/>
      <c r="D16" s="358"/>
      <c r="E16" s="359"/>
      <c r="F16" s="360"/>
      <c r="G16" s="138"/>
      <c r="H16" s="139"/>
      <c r="I16" s="157"/>
      <c r="J16" s="158"/>
      <c r="K16" s="159"/>
    </row>
    <row r="17" spans="1:11" ht="21.9" customHeight="1">
      <c r="A17" s="136">
        <v>11</v>
      </c>
      <c r="B17" s="141"/>
      <c r="C17" s="141"/>
      <c r="D17" s="358"/>
      <c r="E17" s="359"/>
      <c r="F17" s="360"/>
      <c r="G17" s="138"/>
      <c r="H17" s="139"/>
      <c r="I17" s="157"/>
      <c r="J17" s="158"/>
      <c r="K17" s="159"/>
    </row>
    <row r="18" spans="1:11" ht="21.9" customHeight="1">
      <c r="A18" s="136">
        <v>12</v>
      </c>
      <c r="B18" s="141"/>
      <c r="C18" s="141"/>
      <c r="D18" s="358"/>
      <c r="E18" s="359"/>
      <c r="F18" s="360"/>
      <c r="G18" s="138"/>
      <c r="H18" s="139"/>
      <c r="I18" s="157"/>
      <c r="J18" s="158"/>
      <c r="K18" s="159"/>
    </row>
    <row r="19" spans="1:11" ht="21.9" customHeight="1">
      <c r="A19" s="136">
        <v>13</v>
      </c>
      <c r="B19" s="141"/>
      <c r="C19" s="141"/>
      <c r="D19" s="358"/>
      <c r="E19" s="359"/>
      <c r="F19" s="360"/>
      <c r="G19" s="138"/>
      <c r="H19" s="139"/>
      <c r="I19" s="157"/>
      <c r="J19" s="158"/>
      <c r="K19" s="159"/>
    </row>
    <row r="20" spans="1:11" ht="21.9" customHeight="1">
      <c r="A20" s="136">
        <v>14</v>
      </c>
      <c r="B20" s="141"/>
      <c r="C20" s="142"/>
      <c r="D20" s="358"/>
      <c r="E20" s="359"/>
      <c r="F20" s="360"/>
      <c r="G20" s="138"/>
      <c r="H20" s="139"/>
      <c r="I20" s="157"/>
      <c r="J20" s="158"/>
      <c r="K20" s="159"/>
    </row>
    <row r="21" spans="1:11" ht="21.9" customHeight="1">
      <c r="A21" s="136">
        <v>15</v>
      </c>
      <c r="B21" s="141"/>
      <c r="C21" s="142"/>
      <c r="D21" s="358"/>
      <c r="E21" s="359"/>
      <c r="F21" s="360"/>
      <c r="G21" s="138"/>
      <c r="H21" s="139"/>
      <c r="I21" s="157"/>
      <c r="J21" s="158"/>
      <c r="K21" s="159"/>
    </row>
    <row r="22" spans="1:11" ht="21.9" customHeight="1">
      <c r="A22" s="136">
        <v>16</v>
      </c>
      <c r="B22" s="141"/>
      <c r="C22" s="141"/>
      <c r="D22" s="358"/>
      <c r="E22" s="359"/>
      <c r="F22" s="360"/>
      <c r="G22" s="138"/>
      <c r="H22" s="139"/>
      <c r="I22" s="157"/>
      <c r="J22" s="158"/>
      <c r="K22" s="159"/>
    </row>
    <row r="23" spans="1:11" ht="21.9" customHeight="1">
      <c r="A23" s="136">
        <v>17</v>
      </c>
      <c r="B23" s="141"/>
      <c r="C23" s="141"/>
      <c r="D23" s="358"/>
      <c r="E23" s="359"/>
      <c r="F23" s="360"/>
      <c r="G23" s="138"/>
      <c r="H23" s="139"/>
      <c r="I23" s="157"/>
      <c r="J23" s="158"/>
      <c r="K23" s="159"/>
    </row>
    <row r="24" spans="1:11" ht="21.9" customHeight="1">
      <c r="A24" s="136">
        <v>18</v>
      </c>
      <c r="B24" s="141"/>
      <c r="C24" s="142"/>
      <c r="D24" s="358"/>
      <c r="E24" s="359"/>
      <c r="F24" s="360"/>
      <c r="G24" s="138"/>
      <c r="H24" s="143"/>
      <c r="I24" s="157"/>
      <c r="J24" s="158"/>
      <c r="K24" s="159"/>
    </row>
    <row r="25" spans="1:11" ht="21.9" customHeight="1">
      <c r="A25" s="136">
        <v>19</v>
      </c>
      <c r="B25" s="141"/>
      <c r="C25" s="142"/>
      <c r="D25" s="358"/>
      <c r="E25" s="359"/>
      <c r="F25" s="360"/>
      <c r="G25" s="138"/>
      <c r="H25" s="143"/>
      <c r="I25" s="157"/>
      <c r="J25" s="158"/>
      <c r="K25" s="159"/>
    </row>
    <row r="26" spans="1:11" ht="21.9" customHeight="1">
      <c r="A26" s="136">
        <v>20</v>
      </c>
      <c r="B26" s="141"/>
      <c r="C26" s="141"/>
      <c r="D26" s="358"/>
      <c r="E26" s="359"/>
      <c r="F26" s="360"/>
      <c r="G26" s="138"/>
      <c r="H26" s="139"/>
      <c r="I26" s="157"/>
      <c r="J26" s="158"/>
      <c r="K26" s="159"/>
    </row>
    <row r="27" spans="1:11" ht="21.9" customHeight="1">
      <c r="A27" s="136">
        <v>21</v>
      </c>
      <c r="B27" s="137"/>
      <c r="C27" s="137"/>
      <c r="D27" s="378"/>
      <c r="E27" s="379"/>
      <c r="F27" s="380"/>
      <c r="G27" s="144"/>
      <c r="H27" s="139"/>
      <c r="I27" s="157"/>
      <c r="J27" s="158"/>
      <c r="K27" s="159"/>
    </row>
    <row r="28" spans="1:11" ht="21.9" customHeight="1">
      <c r="A28" s="136">
        <v>22</v>
      </c>
      <c r="B28" s="137"/>
      <c r="C28" s="145"/>
      <c r="D28" s="378"/>
      <c r="E28" s="379"/>
      <c r="F28" s="380"/>
      <c r="G28" s="144"/>
      <c r="H28" s="139"/>
      <c r="I28" s="157"/>
      <c r="J28" s="158"/>
      <c r="K28" s="159"/>
    </row>
    <row r="29" spans="1:11" ht="21.9" customHeight="1">
      <c r="A29" s="136">
        <v>23</v>
      </c>
      <c r="B29" s="137"/>
      <c r="C29" s="145"/>
      <c r="D29" s="378"/>
      <c r="E29" s="379"/>
      <c r="F29" s="380"/>
      <c r="G29" s="144"/>
      <c r="H29" s="139"/>
      <c r="I29" s="157"/>
      <c r="J29" s="158"/>
      <c r="K29" s="159"/>
    </row>
    <row r="30" spans="1:11" ht="21.9" customHeight="1">
      <c r="A30" s="136">
        <v>24</v>
      </c>
      <c r="B30" s="137"/>
      <c r="C30" s="145"/>
      <c r="D30" s="378"/>
      <c r="E30" s="379"/>
      <c r="F30" s="380"/>
      <c r="G30" s="144"/>
      <c r="H30" s="143"/>
      <c r="I30" s="157"/>
      <c r="J30" s="158"/>
      <c r="K30" s="159"/>
    </row>
    <row r="31" spans="1:11" ht="21.9" customHeight="1">
      <c r="A31" s="136">
        <v>25</v>
      </c>
      <c r="B31" s="137"/>
      <c r="C31" s="145"/>
      <c r="D31" s="378"/>
      <c r="E31" s="379"/>
      <c r="F31" s="380"/>
      <c r="G31" s="144"/>
      <c r="H31" s="143"/>
      <c r="I31" s="157"/>
      <c r="J31" s="158"/>
      <c r="K31" s="159"/>
    </row>
    <row r="32" spans="1:11" ht="21.9" customHeight="1">
      <c r="A32" s="136">
        <v>26</v>
      </c>
      <c r="B32" s="137"/>
      <c r="C32" s="145"/>
      <c r="D32" s="378"/>
      <c r="E32" s="379"/>
      <c r="F32" s="380"/>
      <c r="G32" s="144"/>
      <c r="H32" s="143"/>
      <c r="I32" s="157"/>
      <c r="J32" s="158"/>
      <c r="K32" s="159"/>
    </row>
    <row r="33" spans="1:15" ht="21.9" customHeight="1">
      <c r="A33" s="136">
        <v>27</v>
      </c>
      <c r="B33" s="137"/>
      <c r="C33" s="145"/>
      <c r="D33" s="378"/>
      <c r="E33" s="379"/>
      <c r="F33" s="380"/>
      <c r="G33" s="144"/>
      <c r="H33" s="139"/>
      <c r="I33" s="157"/>
      <c r="J33" s="158"/>
      <c r="K33" s="159"/>
    </row>
    <row r="34" spans="1:15" ht="21.9" customHeight="1">
      <c r="A34" s="136">
        <v>28</v>
      </c>
      <c r="B34" s="137"/>
      <c r="C34" s="145"/>
      <c r="D34" s="378"/>
      <c r="E34" s="379"/>
      <c r="F34" s="380"/>
      <c r="G34" s="144"/>
      <c r="H34" s="139"/>
      <c r="I34" s="157"/>
      <c r="J34" s="158"/>
      <c r="K34" s="159"/>
    </row>
    <row r="35" spans="1:15" ht="24" customHeight="1">
      <c r="A35" s="146"/>
      <c r="B35" s="353" t="s">
        <v>504</v>
      </c>
      <c r="C35" s="354"/>
      <c r="D35" s="385"/>
      <c r="E35" s="386"/>
      <c r="F35" s="387"/>
      <c r="G35" s="147"/>
      <c r="H35" s="148"/>
      <c r="I35" s="148"/>
      <c r="J35" s="162">
        <f>SUM(J7:J34)*0.95</f>
        <v>0</v>
      </c>
      <c r="K35" s="163"/>
    </row>
    <row r="36" spans="1:15" ht="29.25" customHeight="1">
      <c r="A36" s="373"/>
      <c r="B36" s="374"/>
      <c r="K36"/>
    </row>
    <row r="37" spans="1:15" s="128" customFormat="1" ht="20.399999999999999">
      <c r="A37" s="375" t="s">
        <v>486</v>
      </c>
      <c r="B37" s="375"/>
      <c r="C37" s="375"/>
      <c r="D37" s="375"/>
      <c r="E37" s="375"/>
      <c r="F37" s="375"/>
      <c r="G37" s="375"/>
      <c r="H37" s="375"/>
      <c r="I37" s="375"/>
      <c r="J37" s="375"/>
      <c r="K37"/>
    </row>
    <row r="38" spans="1:15" s="128" customFormat="1" ht="22.8">
      <c r="A38" s="376" t="s">
        <v>487</v>
      </c>
      <c r="B38" s="377"/>
      <c r="C38" s="377"/>
      <c r="D38" s="377"/>
      <c r="E38" s="377"/>
      <c r="F38" s="377"/>
      <c r="G38" s="377"/>
      <c r="H38" s="377"/>
      <c r="I38" s="377"/>
      <c r="J38" s="377"/>
      <c r="K38"/>
    </row>
    <row r="39" spans="1:15" ht="30" customHeight="1">
      <c r="A39" s="149" t="s">
        <v>488</v>
      </c>
      <c r="B39" s="388">
        <f>B4</f>
        <v>0</v>
      </c>
      <c r="C39" s="389"/>
      <c r="D39" s="390" t="s">
        <v>489</v>
      </c>
      <c r="E39" s="391"/>
      <c r="F39" s="150">
        <f>F4</f>
        <v>0</v>
      </c>
      <c r="G39" s="390" t="s">
        <v>490</v>
      </c>
      <c r="H39" s="391"/>
      <c r="I39" s="388" t="e">
        <f>I4</f>
        <v>#N/A</v>
      </c>
      <c r="J39" s="389"/>
      <c r="K39" s="164" t="s">
        <v>491</v>
      </c>
    </row>
    <row r="40" spans="1:15" ht="24" customHeight="1">
      <c r="A40" s="364" t="s">
        <v>492</v>
      </c>
      <c r="B40" s="347" t="s">
        <v>493</v>
      </c>
      <c r="C40" s="349"/>
      <c r="D40" s="347" t="s">
        <v>494</v>
      </c>
      <c r="E40" s="348"/>
      <c r="F40" s="349"/>
      <c r="G40" s="370" t="s">
        <v>495</v>
      </c>
      <c r="H40" s="371"/>
      <c r="I40" s="371"/>
      <c r="J40" s="372"/>
      <c r="K40" s="345" t="s">
        <v>496</v>
      </c>
    </row>
    <row r="41" spans="1:15" ht="24" customHeight="1">
      <c r="A41" s="365"/>
      <c r="B41" s="134" t="s">
        <v>497</v>
      </c>
      <c r="C41" s="134" t="s">
        <v>498</v>
      </c>
      <c r="D41" s="350"/>
      <c r="E41" s="351"/>
      <c r="F41" s="352"/>
      <c r="G41" s="135" t="s">
        <v>499</v>
      </c>
      <c r="H41" s="135" t="s">
        <v>500</v>
      </c>
      <c r="I41" s="135" t="s">
        <v>501</v>
      </c>
      <c r="J41" s="135" t="s">
        <v>502</v>
      </c>
      <c r="K41" s="346"/>
    </row>
    <row r="42" spans="1:15" ht="24" customHeight="1">
      <c r="A42" s="151">
        <v>1</v>
      </c>
      <c r="B42" s="137"/>
      <c r="C42" s="137"/>
      <c r="D42" s="361"/>
      <c r="E42" s="362"/>
      <c r="F42" s="363"/>
      <c r="G42" s="152"/>
      <c r="H42" s="153"/>
      <c r="I42" s="157"/>
      <c r="J42" s="158"/>
      <c r="K42" s="153"/>
      <c r="N42" s="165"/>
    </row>
    <row r="43" spans="1:15" ht="24" customHeight="1">
      <c r="A43" s="151">
        <v>2</v>
      </c>
      <c r="B43" s="137"/>
      <c r="C43" s="137"/>
      <c r="D43" s="358"/>
      <c r="E43" s="359"/>
      <c r="F43" s="360"/>
      <c r="G43" s="138"/>
      <c r="H43" s="153"/>
      <c r="I43" s="157"/>
      <c r="J43" s="158"/>
      <c r="K43" s="153"/>
      <c r="N43" s="165"/>
    </row>
    <row r="44" spans="1:15" ht="24" customHeight="1">
      <c r="A44" s="151">
        <v>3</v>
      </c>
      <c r="B44" s="137"/>
      <c r="C44" s="137"/>
      <c r="D44" s="358"/>
      <c r="E44" s="359"/>
      <c r="F44" s="360"/>
      <c r="G44" s="152"/>
      <c r="H44" s="153"/>
      <c r="I44" s="157"/>
      <c r="J44" s="158"/>
      <c r="K44" s="153"/>
      <c r="N44" s="165"/>
      <c r="O44" s="161"/>
    </row>
    <row r="45" spans="1:15" ht="24" customHeight="1">
      <c r="A45" s="151">
        <v>4</v>
      </c>
      <c r="B45" s="137"/>
      <c r="C45" s="137"/>
      <c r="D45" s="358"/>
      <c r="E45" s="359"/>
      <c r="F45" s="360"/>
      <c r="G45" s="152"/>
      <c r="H45" s="153"/>
      <c r="I45" s="157"/>
      <c r="J45" s="158"/>
      <c r="K45" s="153"/>
      <c r="N45" s="165"/>
    </row>
    <row r="46" spans="1:15" ht="24" customHeight="1">
      <c r="A46" s="151">
        <v>5</v>
      </c>
      <c r="B46" s="137"/>
      <c r="C46" s="137"/>
      <c r="D46" s="358"/>
      <c r="E46" s="359"/>
      <c r="F46" s="360"/>
      <c r="G46" s="138"/>
      <c r="H46" s="153"/>
      <c r="I46" s="157"/>
      <c r="J46" s="158"/>
      <c r="K46" s="153"/>
      <c r="N46" s="165"/>
    </row>
    <row r="47" spans="1:15" ht="24" customHeight="1">
      <c r="A47" s="151">
        <v>6</v>
      </c>
      <c r="B47" s="137"/>
      <c r="C47" s="137"/>
      <c r="D47" s="361"/>
      <c r="E47" s="362"/>
      <c r="F47" s="363"/>
      <c r="G47" s="152"/>
      <c r="H47" s="153"/>
      <c r="I47" s="157"/>
      <c r="J47" s="158"/>
      <c r="K47" s="153"/>
      <c r="N47" s="165"/>
    </row>
    <row r="48" spans="1:15" ht="24" customHeight="1">
      <c r="A48" s="151">
        <v>7</v>
      </c>
      <c r="B48" s="137"/>
      <c r="C48" s="137"/>
      <c r="D48" s="361"/>
      <c r="E48" s="362"/>
      <c r="F48" s="363"/>
      <c r="G48" s="152"/>
      <c r="H48" s="153"/>
      <c r="I48" s="157"/>
      <c r="J48" s="158"/>
      <c r="K48" s="153"/>
    </row>
    <row r="49" spans="1:11" ht="24" customHeight="1">
      <c r="A49" s="151">
        <v>8</v>
      </c>
      <c r="B49" s="137"/>
      <c r="C49" s="137"/>
      <c r="D49" s="358"/>
      <c r="E49" s="359"/>
      <c r="F49" s="360"/>
      <c r="G49" s="152"/>
      <c r="H49" s="153"/>
      <c r="I49" s="157"/>
      <c r="J49" s="158"/>
      <c r="K49" s="153"/>
    </row>
    <row r="50" spans="1:11" ht="24" customHeight="1">
      <c r="A50" s="151">
        <v>9</v>
      </c>
      <c r="B50" s="137"/>
      <c r="C50" s="137"/>
      <c r="D50" s="358"/>
      <c r="E50" s="359"/>
      <c r="F50" s="360"/>
      <c r="G50" s="152"/>
      <c r="H50" s="153"/>
      <c r="I50" s="157"/>
      <c r="J50" s="158"/>
      <c r="K50" s="153"/>
    </row>
    <row r="51" spans="1:11" ht="24" customHeight="1">
      <c r="A51" s="151">
        <v>10</v>
      </c>
      <c r="B51" s="137"/>
      <c r="C51" s="137"/>
      <c r="D51" s="358"/>
      <c r="E51" s="359"/>
      <c r="F51" s="360"/>
      <c r="G51" s="138"/>
      <c r="H51" s="153"/>
      <c r="I51" s="157"/>
      <c r="J51" s="158"/>
      <c r="K51" s="153"/>
    </row>
    <row r="52" spans="1:11" ht="24" customHeight="1">
      <c r="A52" s="151">
        <v>11</v>
      </c>
      <c r="B52" s="137"/>
      <c r="C52" s="137"/>
      <c r="D52" s="361"/>
      <c r="E52" s="362"/>
      <c r="F52" s="363"/>
      <c r="G52" s="152"/>
      <c r="H52" s="153"/>
      <c r="I52" s="157"/>
      <c r="J52" s="158"/>
      <c r="K52" s="153"/>
    </row>
    <row r="53" spans="1:11" ht="24" customHeight="1">
      <c r="A53" s="151">
        <v>12</v>
      </c>
      <c r="B53" s="137"/>
      <c r="C53" s="137"/>
      <c r="D53" s="361"/>
      <c r="E53" s="362"/>
      <c r="F53" s="363"/>
      <c r="G53" s="152"/>
      <c r="H53" s="153"/>
      <c r="I53" s="157"/>
      <c r="J53" s="158"/>
      <c r="K53" s="153"/>
    </row>
    <row r="54" spans="1:11" ht="24" customHeight="1">
      <c r="A54" s="151">
        <v>13</v>
      </c>
      <c r="B54" s="137"/>
      <c r="C54" s="137"/>
      <c r="D54" s="358"/>
      <c r="E54" s="359"/>
      <c r="F54" s="360"/>
      <c r="G54" s="152"/>
      <c r="H54" s="153"/>
      <c r="I54" s="157"/>
      <c r="J54" s="158"/>
      <c r="K54" s="153"/>
    </row>
    <row r="55" spans="1:11" ht="24" customHeight="1">
      <c r="A55" s="151">
        <v>14</v>
      </c>
      <c r="B55" s="137"/>
      <c r="C55" s="137"/>
      <c r="D55" s="358"/>
      <c r="E55" s="359"/>
      <c r="F55" s="360"/>
      <c r="G55" s="152"/>
      <c r="H55" s="153"/>
      <c r="I55" s="157"/>
      <c r="J55" s="158"/>
      <c r="K55" s="153"/>
    </row>
    <row r="56" spans="1:11" ht="24" customHeight="1">
      <c r="A56" s="151">
        <v>15</v>
      </c>
      <c r="B56" s="137"/>
      <c r="C56" s="137"/>
      <c r="D56" s="358"/>
      <c r="E56" s="359"/>
      <c r="F56" s="360"/>
      <c r="G56" s="138"/>
      <c r="H56" s="153"/>
      <c r="I56" s="157"/>
      <c r="J56" s="158"/>
      <c r="K56" s="153"/>
    </row>
    <row r="57" spans="1:11" ht="24" customHeight="1">
      <c r="A57" s="151">
        <v>16</v>
      </c>
      <c r="B57" s="137"/>
      <c r="C57" s="137"/>
      <c r="D57" s="358"/>
      <c r="E57" s="359"/>
      <c r="F57" s="360"/>
      <c r="G57" s="138"/>
      <c r="H57" s="153"/>
      <c r="I57" s="157"/>
      <c r="J57" s="158"/>
      <c r="K57" s="153"/>
    </row>
    <row r="58" spans="1:11" ht="24" customHeight="1">
      <c r="A58" s="151">
        <v>17</v>
      </c>
      <c r="B58" s="137"/>
      <c r="C58" s="137"/>
      <c r="D58" s="361"/>
      <c r="E58" s="362"/>
      <c r="F58" s="363"/>
      <c r="G58" s="152"/>
      <c r="H58" s="153"/>
      <c r="I58" s="157"/>
      <c r="J58" s="158"/>
      <c r="K58" s="153"/>
    </row>
    <row r="59" spans="1:11" ht="24" customHeight="1">
      <c r="A59" s="151">
        <v>18</v>
      </c>
      <c r="B59" s="137"/>
      <c r="C59" s="137"/>
      <c r="D59" s="361"/>
      <c r="E59" s="362"/>
      <c r="F59" s="363"/>
      <c r="G59" s="152"/>
      <c r="H59" s="153"/>
      <c r="I59" s="157"/>
      <c r="J59" s="158"/>
      <c r="K59" s="153"/>
    </row>
    <row r="60" spans="1:11" ht="24" customHeight="1">
      <c r="A60" s="151">
        <v>19</v>
      </c>
      <c r="B60" s="137"/>
      <c r="C60" s="137"/>
      <c r="D60" s="358"/>
      <c r="E60" s="359"/>
      <c r="F60" s="360"/>
      <c r="G60" s="152"/>
      <c r="H60" s="153"/>
      <c r="I60" s="157"/>
      <c r="J60" s="158"/>
      <c r="K60" s="153"/>
    </row>
    <row r="61" spans="1:11" ht="24" customHeight="1">
      <c r="A61" s="151">
        <v>20</v>
      </c>
      <c r="B61" s="137"/>
      <c r="C61" s="137"/>
      <c r="D61" s="358"/>
      <c r="E61" s="359"/>
      <c r="F61" s="360"/>
      <c r="G61" s="152"/>
      <c r="H61" s="153"/>
      <c r="I61" s="157"/>
      <c r="J61" s="158"/>
      <c r="K61" s="153"/>
    </row>
    <row r="62" spans="1:11" ht="24" customHeight="1">
      <c r="A62" s="151">
        <v>21</v>
      </c>
      <c r="B62" s="137"/>
      <c r="C62" s="137"/>
      <c r="D62" s="361"/>
      <c r="E62" s="362"/>
      <c r="F62" s="363"/>
      <c r="G62" s="152"/>
      <c r="H62" s="153"/>
      <c r="I62" s="157"/>
      <c r="J62" s="158"/>
      <c r="K62" s="153"/>
    </row>
    <row r="63" spans="1:11" ht="24" customHeight="1">
      <c r="A63" s="151">
        <v>22</v>
      </c>
      <c r="B63" s="137"/>
      <c r="C63" s="137"/>
      <c r="D63" s="358"/>
      <c r="E63" s="359"/>
      <c r="F63" s="360"/>
      <c r="G63" s="138"/>
      <c r="H63" s="153"/>
      <c r="I63" s="157"/>
      <c r="J63" s="158"/>
      <c r="K63" s="153"/>
    </row>
    <row r="64" spans="1:11" ht="24" customHeight="1">
      <c r="A64" s="151">
        <v>23</v>
      </c>
      <c r="B64" s="137"/>
      <c r="C64" s="137"/>
      <c r="D64" s="358"/>
      <c r="E64" s="359"/>
      <c r="F64" s="360"/>
      <c r="G64" s="138"/>
      <c r="H64" s="153"/>
      <c r="I64" s="157"/>
      <c r="J64" s="158"/>
      <c r="K64" s="153"/>
    </row>
    <row r="65" spans="1:11" ht="24" customHeight="1">
      <c r="A65" s="151">
        <v>24</v>
      </c>
      <c r="B65" s="137"/>
      <c r="C65" s="137"/>
      <c r="D65" s="358"/>
      <c r="E65" s="359"/>
      <c r="F65" s="360"/>
      <c r="G65" s="138"/>
      <c r="H65" s="153"/>
      <c r="I65" s="157"/>
      <c r="J65" s="158"/>
      <c r="K65" s="153"/>
    </row>
    <row r="66" spans="1:11" ht="24" customHeight="1">
      <c r="A66" s="151">
        <v>25</v>
      </c>
      <c r="B66" s="137"/>
      <c r="C66" s="137"/>
      <c r="D66" s="361"/>
      <c r="E66" s="362"/>
      <c r="F66" s="363"/>
      <c r="G66" s="152"/>
      <c r="H66" s="153"/>
      <c r="I66" s="157"/>
      <c r="J66" s="158"/>
      <c r="K66" s="153"/>
    </row>
    <row r="67" spans="1:11" ht="24" customHeight="1">
      <c r="A67" s="151">
        <v>26</v>
      </c>
      <c r="B67" s="137"/>
      <c r="C67" s="137"/>
      <c r="D67" s="361"/>
      <c r="E67" s="362"/>
      <c r="F67" s="363"/>
      <c r="G67" s="152"/>
      <c r="H67" s="153"/>
      <c r="I67" s="157"/>
      <c r="J67" s="158"/>
      <c r="K67" s="153"/>
    </row>
    <row r="68" spans="1:11" ht="24" customHeight="1">
      <c r="A68" s="151">
        <v>27</v>
      </c>
      <c r="B68" s="137"/>
      <c r="C68" s="137"/>
      <c r="D68" s="358"/>
      <c r="E68" s="359"/>
      <c r="F68" s="360"/>
      <c r="G68" s="152"/>
      <c r="H68" s="153"/>
      <c r="I68" s="157"/>
      <c r="J68" s="158"/>
      <c r="K68" s="153"/>
    </row>
    <row r="69" spans="1:11" ht="24" customHeight="1">
      <c r="A69" s="151">
        <v>28</v>
      </c>
      <c r="B69" s="137"/>
      <c r="C69" s="137"/>
      <c r="D69" s="358"/>
      <c r="E69" s="359"/>
      <c r="F69" s="360"/>
      <c r="G69" s="152"/>
      <c r="H69" s="153"/>
      <c r="I69" s="157"/>
      <c r="J69" s="158"/>
      <c r="K69" s="153"/>
    </row>
    <row r="70" spans="1:11" ht="24" customHeight="1">
      <c r="A70" s="151">
        <v>29</v>
      </c>
      <c r="B70" s="137"/>
      <c r="C70" s="137"/>
      <c r="D70" s="361"/>
      <c r="E70" s="362"/>
      <c r="F70" s="363"/>
      <c r="G70" s="152"/>
      <c r="H70" s="153"/>
      <c r="I70" s="157"/>
      <c r="J70" s="158"/>
      <c r="K70" s="153"/>
    </row>
    <row r="71" spans="1:11" ht="24" customHeight="1">
      <c r="A71" s="151">
        <v>30</v>
      </c>
      <c r="B71" s="137"/>
      <c r="C71" s="137"/>
      <c r="D71" s="358"/>
      <c r="E71" s="359"/>
      <c r="F71" s="360"/>
      <c r="G71" s="138"/>
      <c r="H71" s="153"/>
      <c r="I71" s="157"/>
      <c r="J71" s="158"/>
      <c r="K71" s="153"/>
    </row>
    <row r="72" spans="1:11" ht="24" customHeight="1">
      <c r="A72" s="151">
        <v>31</v>
      </c>
      <c r="B72" s="137"/>
      <c r="C72" s="137"/>
      <c r="D72" s="358"/>
      <c r="E72" s="359"/>
      <c r="F72" s="360"/>
      <c r="G72" s="138"/>
      <c r="H72" s="153"/>
      <c r="I72" s="157"/>
      <c r="J72" s="158"/>
      <c r="K72" s="153"/>
    </row>
    <row r="73" spans="1:11" ht="24" customHeight="1">
      <c r="A73" s="151">
        <v>32</v>
      </c>
      <c r="B73" s="137"/>
      <c r="C73" s="137"/>
      <c r="D73" s="358"/>
      <c r="E73" s="359"/>
      <c r="F73" s="360"/>
      <c r="G73" s="138"/>
      <c r="H73" s="153"/>
      <c r="I73" s="157"/>
      <c r="J73" s="158"/>
      <c r="K73" s="153"/>
    </row>
    <row r="74" spans="1:11" ht="24" customHeight="1">
      <c r="A74" s="151">
        <v>33</v>
      </c>
      <c r="B74" s="137"/>
      <c r="C74" s="137"/>
      <c r="D74" s="361"/>
      <c r="E74" s="362"/>
      <c r="F74" s="363"/>
      <c r="G74" s="152"/>
      <c r="H74" s="153"/>
      <c r="I74" s="157"/>
      <c r="J74" s="158"/>
      <c r="K74" s="153"/>
    </row>
    <row r="75" spans="1:11" ht="24" customHeight="1">
      <c r="A75" s="151">
        <v>34</v>
      </c>
      <c r="B75" s="137"/>
      <c r="C75" s="137"/>
      <c r="D75" s="361"/>
      <c r="E75" s="362"/>
      <c r="F75" s="363"/>
      <c r="G75" s="152"/>
      <c r="H75" s="153"/>
      <c r="I75" s="157"/>
      <c r="J75" s="158"/>
      <c r="K75" s="153"/>
    </row>
    <row r="76" spans="1:11" ht="24" customHeight="1">
      <c r="A76" s="151">
        <v>35</v>
      </c>
      <c r="B76" s="137"/>
      <c r="C76" s="137"/>
      <c r="D76" s="358"/>
      <c r="E76" s="359"/>
      <c r="F76" s="360"/>
      <c r="G76" s="152"/>
      <c r="H76" s="153"/>
      <c r="I76" s="157"/>
      <c r="J76" s="158"/>
      <c r="K76" s="153"/>
    </row>
    <row r="77" spans="1:11" ht="24" customHeight="1">
      <c r="A77" s="151">
        <v>36</v>
      </c>
      <c r="B77" s="137"/>
      <c r="C77" s="137"/>
      <c r="D77" s="358"/>
      <c r="E77" s="359"/>
      <c r="F77" s="360"/>
      <c r="G77" s="152"/>
      <c r="H77" s="153"/>
      <c r="I77" s="157"/>
      <c r="J77" s="158"/>
      <c r="K77" s="153"/>
    </row>
    <row r="78" spans="1:11" ht="24" customHeight="1">
      <c r="A78" s="151">
        <v>37</v>
      </c>
      <c r="B78" s="137"/>
      <c r="C78" s="137"/>
      <c r="D78" s="361"/>
      <c r="E78" s="362"/>
      <c r="F78" s="363"/>
      <c r="G78" s="152"/>
      <c r="H78" s="153"/>
      <c r="I78" s="157"/>
      <c r="J78" s="158"/>
      <c r="K78" s="153"/>
    </row>
    <row r="79" spans="1:11" ht="24" customHeight="1">
      <c r="A79" s="151">
        <v>38</v>
      </c>
      <c r="B79" s="137"/>
      <c r="C79" s="137"/>
      <c r="D79" s="358"/>
      <c r="E79" s="359"/>
      <c r="F79" s="360"/>
      <c r="G79" s="138"/>
      <c r="H79" s="153"/>
      <c r="I79" s="157"/>
      <c r="J79" s="158"/>
      <c r="K79" s="153"/>
    </row>
    <row r="80" spans="1:11" ht="24" customHeight="1">
      <c r="A80" s="151">
        <v>39</v>
      </c>
      <c r="B80" s="137"/>
      <c r="C80" s="137"/>
      <c r="D80" s="358"/>
      <c r="E80" s="359"/>
      <c r="F80" s="360"/>
      <c r="G80" s="138"/>
      <c r="H80" s="153"/>
      <c r="I80" s="157"/>
      <c r="J80" s="158"/>
      <c r="K80" s="153"/>
    </row>
    <row r="81" spans="1:11" ht="24" customHeight="1">
      <c r="A81" s="151">
        <v>40</v>
      </c>
      <c r="B81" s="137"/>
      <c r="C81" s="137"/>
      <c r="D81" s="358"/>
      <c r="E81" s="359"/>
      <c r="F81" s="360"/>
      <c r="G81" s="138"/>
      <c r="H81" s="153"/>
      <c r="I81" s="157"/>
      <c r="J81" s="158"/>
      <c r="K81" s="153"/>
    </row>
    <row r="82" spans="1:11" ht="24" customHeight="1">
      <c r="A82" s="151">
        <v>41</v>
      </c>
      <c r="B82" s="137"/>
      <c r="C82" s="137"/>
      <c r="D82" s="361"/>
      <c r="E82" s="362"/>
      <c r="F82" s="363"/>
      <c r="G82" s="152"/>
      <c r="H82" s="153"/>
      <c r="I82" s="157"/>
      <c r="J82" s="158"/>
      <c r="K82" s="153"/>
    </row>
    <row r="83" spans="1:11" ht="24" customHeight="1">
      <c r="A83" s="151">
        <v>42</v>
      </c>
      <c r="B83" s="137"/>
      <c r="C83" s="137"/>
      <c r="D83" s="361"/>
      <c r="E83" s="362"/>
      <c r="F83" s="363"/>
      <c r="G83" s="152"/>
      <c r="H83" s="153"/>
      <c r="I83" s="157"/>
      <c r="J83" s="158"/>
      <c r="K83" s="153"/>
    </row>
    <row r="84" spans="1:11" ht="24" customHeight="1">
      <c r="A84" s="151">
        <v>43</v>
      </c>
      <c r="B84" s="137"/>
      <c r="C84" s="137"/>
      <c r="D84" s="358"/>
      <c r="E84" s="359"/>
      <c r="F84" s="360"/>
      <c r="G84" s="152"/>
      <c r="H84" s="153"/>
      <c r="I84" s="157"/>
      <c r="J84" s="158"/>
      <c r="K84" s="153"/>
    </row>
    <row r="85" spans="1:11" ht="24" customHeight="1">
      <c r="A85" s="151">
        <v>44</v>
      </c>
      <c r="B85" s="137"/>
      <c r="C85" s="137"/>
      <c r="D85" s="358"/>
      <c r="E85" s="359"/>
      <c r="F85" s="360"/>
      <c r="G85" s="152"/>
      <c r="H85" s="153"/>
      <c r="I85" s="157"/>
      <c r="J85" s="158"/>
      <c r="K85" s="153"/>
    </row>
    <row r="86" spans="1:11" ht="24" customHeight="1">
      <c r="A86" s="151">
        <v>45</v>
      </c>
      <c r="B86" s="137"/>
      <c r="C86" s="137"/>
      <c r="D86" s="361"/>
      <c r="E86" s="362"/>
      <c r="F86" s="363"/>
      <c r="G86" s="152"/>
      <c r="H86" s="153"/>
      <c r="I86" s="157"/>
      <c r="J86" s="158"/>
      <c r="K86" s="153"/>
    </row>
    <row r="87" spans="1:11" ht="24" customHeight="1">
      <c r="A87" s="151">
        <v>46</v>
      </c>
      <c r="B87" s="137"/>
      <c r="C87" s="137"/>
      <c r="D87" s="358"/>
      <c r="E87" s="359"/>
      <c r="F87" s="360"/>
      <c r="G87" s="138"/>
      <c r="H87" s="153"/>
      <c r="I87" s="157"/>
      <c r="J87" s="158"/>
      <c r="K87" s="153"/>
    </row>
    <row r="88" spans="1:11" ht="24" customHeight="1">
      <c r="A88" s="151">
        <v>47</v>
      </c>
      <c r="B88" s="137"/>
      <c r="C88" s="137"/>
      <c r="D88" s="358"/>
      <c r="E88" s="359"/>
      <c r="F88" s="360"/>
      <c r="G88" s="138"/>
      <c r="H88" s="153"/>
      <c r="I88" s="157"/>
      <c r="J88" s="158"/>
      <c r="K88" s="153"/>
    </row>
    <row r="89" spans="1:11" ht="24" customHeight="1">
      <c r="A89" s="151">
        <v>48</v>
      </c>
      <c r="B89" s="137"/>
      <c r="C89" s="137"/>
      <c r="D89" s="358"/>
      <c r="E89" s="359"/>
      <c r="F89" s="360"/>
      <c r="G89" s="138"/>
      <c r="H89" s="153"/>
      <c r="I89" s="157"/>
      <c r="J89" s="158"/>
      <c r="K89" s="153"/>
    </row>
    <row r="90" spans="1:11" ht="24" customHeight="1">
      <c r="A90" s="151">
        <v>49</v>
      </c>
      <c r="B90" s="137"/>
      <c r="C90" s="137"/>
      <c r="D90" s="361"/>
      <c r="E90" s="362"/>
      <c r="F90" s="363"/>
      <c r="G90" s="166"/>
      <c r="H90" s="153"/>
      <c r="I90" s="157"/>
      <c r="J90" s="158"/>
      <c r="K90" s="153"/>
    </row>
    <row r="91" spans="1:11" ht="24" customHeight="1">
      <c r="A91" s="151">
        <v>50</v>
      </c>
      <c r="B91" s="137"/>
      <c r="C91" s="137"/>
      <c r="D91" s="361"/>
      <c r="E91" s="362"/>
      <c r="F91" s="363"/>
      <c r="G91" s="166"/>
      <c r="H91" s="153"/>
      <c r="I91" s="157"/>
      <c r="J91" s="158"/>
      <c r="K91" s="153"/>
    </row>
    <row r="92" spans="1:11" ht="24" customHeight="1">
      <c r="A92" s="151">
        <v>51</v>
      </c>
      <c r="B92" s="137"/>
      <c r="C92" s="137"/>
      <c r="D92" s="361"/>
      <c r="E92" s="362"/>
      <c r="F92" s="363"/>
      <c r="G92" s="166"/>
      <c r="H92" s="153"/>
      <c r="I92" s="157"/>
      <c r="J92" s="158"/>
      <c r="K92" s="153"/>
    </row>
    <row r="93" spans="1:11" ht="24" customHeight="1">
      <c r="A93" s="151">
        <v>52</v>
      </c>
      <c r="B93" s="137"/>
      <c r="C93" s="137"/>
      <c r="D93" s="361"/>
      <c r="E93" s="362"/>
      <c r="F93" s="363"/>
      <c r="G93" s="166"/>
      <c r="H93" s="153"/>
      <c r="I93" s="157"/>
      <c r="J93" s="158"/>
      <c r="K93" s="153"/>
    </row>
    <row r="94" spans="1:11" ht="24" customHeight="1">
      <c r="A94" s="151">
        <v>53</v>
      </c>
      <c r="B94" s="137"/>
      <c r="C94" s="137"/>
      <c r="D94" s="361"/>
      <c r="E94" s="362"/>
      <c r="F94" s="363"/>
      <c r="G94" s="166"/>
      <c r="H94" s="153"/>
      <c r="I94" s="157"/>
      <c r="J94" s="158"/>
      <c r="K94" s="153"/>
    </row>
    <row r="95" spans="1:11" ht="24" customHeight="1">
      <c r="A95" s="151">
        <v>54</v>
      </c>
      <c r="B95" s="137"/>
      <c r="C95" s="137"/>
      <c r="D95" s="361"/>
      <c r="E95" s="362"/>
      <c r="F95" s="363"/>
      <c r="G95" s="166"/>
      <c r="H95" s="153"/>
      <c r="I95" s="157"/>
      <c r="J95" s="158"/>
      <c r="K95" s="153"/>
    </row>
    <row r="96" spans="1:11" ht="24" customHeight="1">
      <c r="A96" s="151">
        <v>55</v>
      </c>
      <c r="B96" s="137"/>
      <c r="C96" s="137"/>
      <c r="D96" s="361"/>
      <c r="E96" s="362"/>
      <c r="F96" s="363"/>
      <c r="G96" s="166"/>
      <c r="H96" s="153"/>
      <c r="I96" s="157"/>
      <c r="J96" s="158"/>
      <c r="K96" s="153"/>
    </row>
    <row r="97" spans="1:20" ht="24" customHeight="1">
      <c r="A97" s="151">
        <v>56</v>
      </c>
      <c r="B97" s="137"/>
      <c r="C97" s="137"/>
      <c r="D97" s="361"/>
      <c r="E97" s="362"/>
      <c r="F97" s="363"/>
      <c r="G97" s="166"/>
      <c r="H97" s="153"/>
      <c r="I97" s="157"/>
      <c r="J97" s="158"/>
      <c r="K97" s="153"/>
    </row>
    <row r="98" spans="1:20" ht="24" customHeight="1">
      <c r="A98" s="151">
        <v>57</v>
      </c>
      <c r="B98" s="137"/>
      <c r="C98" s="137"/>
      <c r="D98" s="361"/>
      <c r="E98" s="362"/>
      <c r="F98" s="363"/>
      <c r="G98" s="166"/>
      <c r="H98" s="153"/>
      <c r="I98" s="157"/>
      <c r="J98" s="158"/>
      <c r="K98" s="153"/>
    </row>
    <row r="99" spans="1:20" ht="24" customHeight="1">
      <c r="A99" s="151">
        <v>58</v>
      </c>
      <c r="B99" s="137"/>
      <c r="C99" s="137"/>
      <c r="D99" s="361"/>
      <c r="E99" s="362"/>
      <c r="F99" s="363"/>
      <c r="G99" s="166"/>
      <c r="H99" s="153"/>
      <c r="I99" s="157"/>
      <c r="J99" s="158"/>
      <c r="K99" s="153"/>
    </row>
    <row r="100" spans="1:20" ht="24" customHeight="1">
      <c r="A100" s="151">
        <v>59</v>
      </c>
      <c r="B100" s="137"/>
      <c r="C100" s="137"/>
      <c r="D100" s="361"/>
      <c r="E100" s="362"/>
      <c r="F100" s="363"/>
      <c r="G100" s="166"/>
      <c r="H100" s="153"/>
      <c r="I100" s="157"/>
      <c r="J100" s="158"/>
      <c r="K100" s="153"/>
    </row>
    <row r="101" spans="1:20" ht="24" customHeight="1">
      <c r="A101" s="151">
        <v>60</v>
      </c>
      <c r="B101" s="137"/>
      <c r="C101" s="137"/>
      <c r="D101" s="361"/>
      <c r="E101" s="362"/>
      <c r="F101" s="363"/>
      <c r="G101" s="166"/>
      <c r="H101" s="153"/>
      <c r="I101" s="157"/>
      <c r="J101" s="158"/>
      <c r="K101" s="153"/>
    </row>
    <row r="102" spans="1:20" ht="24" customHeight="1">
      <c r="A102" s="167"/>
      <c r="B102" s="353" t="s">
        <v>504</v>
      </c>
      <c r="C102" s="354"/>
      <c r="D102" s="355"/>
      <c r="E102" s="356"/>
      <c r="F102" s="357"/>
      <c r="G102" s="169"/>
      <c r="H102" s="167"/>
      <c r="I102" s="167"/>
      <c r="J102" s="177">
        <f>SUM(J42:J101)*0.95</f>
        <v>0</v>
      </c>
      <c r="K102" s="153"/>
    </row>
    <row r="103" spans="1:20" ht="24" customHeight="1">
      <c r="A103" s="167"/>
      <c r="B103" s="353" t="s">
        <v>505</v>
      </c>
      <c r="C103" s="354"/>
      <c r="D103" s="355"/>
      <c r="E103" s="356"/>
      <c r="F103" s="357"/>
      <c r="G103" s="169"/>
      <c r="H103" s="167"/>
      <c r="I103" s="167"/>
      <c r="J103" s="177">
        <f>J35+J102</f>
        <v>0</v>
      </c>
      <c r="K103" s="153"/>
    </row>
    <row r="104" spans="1:20" ht="15.6">
      <c r="K104"/>
    </row>
    <row r="105" spans="1:20" ht="15.6">
      <c r="K105"/>
    </row>
    <row r="106" spans="1:20" ht="15.6">
      <c r="K106"/>
    </row>
    <row r="107" spans="1:20" ht="15.6">
      <c r="E107" s="170"/>
      <c r="F107" s="170"/>
      <c r="K107"/>
    </row>
    <row r="108" spans="1:20" ht="15.6">
      <c r="B108" s="170" t="s">
        <v>506</v>
      </c>
      <c r="C108" s="170" t="s">
        <v>507</v>
      </c>
      <c r="D108" s="170" t="s">
        <v>508</v>
      </c>
      <c r="E108" s="170" t="s">
        <v>509</v>
      </c>
      <c r="F108" s="170" t="s">
        <v>510</v>
      </c>
      <c r="G108" s="130" t="s">
        <v>511</v>
      </c>
      <c r="H108" s="130" t="s">
        <v>512</v>
      </c>
      <c r="I108" s="130" t="s">
        <v>513</v>
      </c>
      <c r="K108"/>
    </row>
    <row r="109" spans="1:20" ht="15.6">
      <c r="A109" s="170" t="s">
        <v>514</v>
      </c>
      <c r="B109" s="161">
        <f>$F$4</f>
        <v>0</v>
      </c>
      <c r="C109" s="161">
        <f>'Signatures that need to be read'!$D$6</f>
        <v>0</v>
      </c>
      <c r="D109" s="161" t="e">
        <f>$I$4</f>
        <v>#N/A</v>
      </c>
      <c r="E109" s="171">
        <f>$B$7</f>
        <v>0</v>
      </c>
      <c r="F109" s="171">
        <f>$C$7</f>
        <v>0</v>
      </c>
      <c r="G109" s="130">
        <f>$J$103</f>
        <v>0</v>
      </c>
      <c r="H109" s="130">
        <f>$J$35</f>
        <v>0</v>
      </c>
      <c r="I109" s="130">
        <f>$J$102</f>
        <v>0</v>
      </c>
      <c r="K109"/>
    </row>
    <row r="110" spans="1:20" ht="15.6">
      <c r="A110" s="170"/>
      <c r="C110" s="161"/>
      <c r="E110" s="171"/>
      <c r="F110" s="171"/>
      <c r="K110"/>
    </row>
    <row r="111" spans="1:20" ht="64.95" customHeight="1">
      <c r="H111" s="167" t="s">
        <v>511</v>
      </c>
      <c r="I111" s="167" t="s">
        <v>512</v>
      </c>
      <c r="J111" s="167" t="s">
        <v>513</v>
      </c>
      <c r="K111" s="167" t="s">
        <v>515</v>
      </c>
      <c r="L111" s="167" t="s">
        <v>516</v>
      </c>
      <c r="M111" s="167" t="s">
        <v>517</v>
      </c>
      <c r="N111" s="167" t="s">
        <v>518</v>
      </c>
      <c r="O111" s="167" t="s">
        <v>519</v>
      </c>
      <c r="P111" s="167" t="s">
        <v>520</v>
      </c>
      <c r="Q111" s="167" t="s">
        <v>521</v>
      </c>
      <c r="R111" s="172" t="s">
        <v>522</v>
      </c>
      <c r="S111" s="167"/>
      <c r="T111" s="167"/>
    </row>
    <row r="112" spans="1:20">
      <c r="H112" s="168"/>
      <c r="I112" s="168"/>
      <c r="J112" s="168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</row>
    <row r="113" spans="1:20">
      <c r="A113" s="172" t="s">
        <v>514</v>
      </c>
      <c r="B113" s="167">
        <f>$F$4</f>
        <v>0</v>
      </c>
      <c r="C113" s="167">
        <f>'Signatures that need to be read'!$D$6</f>
        <v>0</v>
      </c>
      <c r="D113" s="167" t="e">
        <f>$I$4</f>
        <v>#N/A</v>
      </c>
      <c r="E113" s="173"/>
      <c r="F113" s="167"/>
      <c r="G113" s="167"/>
      <c r="H113" s="167">
        <f>I113+J113</f>
        <v>0</v>
      </c>
      <c r="I113" s="167">
        <f>J35</f>
        <v>0</v>
      </c>
      <c r="J113" s="167">
        <f>SUM(K113:Q113)</f>
        <v>0</v>
      </c>
      <c r="K113" s="167">
        <f t="shared" ref="K113:P113" si="0">IF(COUNTIFS($D$42:$F$101,K111)&lt;&gt;0,VLOOKUP(K111,$D$42:$K$101,7,0),0)</f>
        <v>0</v>
      </c>
      <c r="L113" s="167">
        <f t="shared" si="0"/>
        <v>0</v>
      </c>
      <c r="M113" s="167">
        <f t="shared" si="0"/>
        <v>0</v>
      </c>
      <c r="N113" s="167">
        <f t="shared" si="0"/>
        <v>0</v>
      </c>
      <c r="O113" s="167">
        <f t="shared" si="0"/>
        <v>0</v>
      </c>
      <c r="P113" s="167">
        <f t="shared" si="0"/>
        <v>0</v>
      </c>
      <c r="Q113" s="167">
        <f>SUM(J42:J101)-SUM(K113:P113)</f>
        <v>0</v>
      </c>
      <c r="R113" s="167">
        <f>SUM(J7:J34)+SUM(J42:J101)-SUM(K113:P113)</f>
        <v>0</v>
      </c>
      <c r="S113" s="167"/>
      <c r="T113" s="167"/>
    </row>
    <row r="114" spans="1:20">
      <c r="A114" s="170"/>
      <c r="E114" s="174"/>
    </row>
    <row r="115" spans="1:20" ht="19.95" customHeight="1">
      <c r="B115" s="170" t="s">
        <v>506</v>
      </c>
      <c r="C115" s="170" t="s">
        <v>507</v>
      </c>
      <c r="D115" s="170" t="s">
        <v>508</v>
      </c>
      <c r="E115" s="170" t="s">
        <v>523</v>
      </c>
      <c r="F115" s="170" t="s">
        <v>509</v>
      </c>
      <c r="G115" s="170" t="s">
        <v>510</v>
      </c>
      <c r="H115" s="130" t="s">
        <v>511</v>
      </c>
      <c r="I115" s="130" t="s">
        <v>512</v>
      </c>
      <c r="J115" s="130" t="s">
        <v>513</v>
      </c>
    </row>
    <row r="116" spans="1:20" ht="19.95" customHeight="1">
      <c r="A116" s="172" t="s">
        <v>514</v>
      </c>
      <c r="B116" s="169">
        <f>$B$109</f>
        <v>0</v>
      </c>
      <c r="C116" s="169">
        <f>$C$109</f>
        <v>0</v>
      </c>
      <c r="D116" s="169" t="e">
        <f>$D$109</f>
        <v>#N/A</v>
      </c>
      <c r="E116" s="167" t="s">
        <v>515</v>
      </c>
      <c r="F116" s="175">
        <f>$E$109</f>
        <v>0</v>
      </c>
      <c r="G116" s="175">
        <f>$F$109</f>
        <v>0</v>
      </c>
      <c r="H116" s="176">
        <f>I116+J116</f>
        <v>0</v>
      </c>
      <c r="I116" s="176">
        <v>0</v>
      </c>
      <c r="J116" s="176">
        <f>$K$113</f>
        <v>0</v>
      </c>
    </row>
    <row r="117" spans="1:20" ht="19.95" customHeight="1">
      <c r="A117" s="172" t="s">
        <v>514</v>
      </c>
      <c r="B117" s="169">
        <f t="shared" ref="B117:B122" si="1">$B$109</f>
        <v>0</v>
      </c>
      <c r="C117" s="169">
        <f t="shared" ref="C117:C122" si="2">$C$109</f>
        <v>0</v>
      </c>
      <c r="D117" s="169" t="e">
        <f t="shared" ref="D117:D122" si="3">$D$109</f>
        <v>#N/A</v>
      </c>
      <c r="E117" s="167" t="s">
        <v>516</v>
      </c>
      <c r="F117" s="175">
        <f t="shared" ref="F117:F122" si="4">$E$109</f>
        <v>0</v>
      </c>
      <c r="G117" s="175">
        <f t="shared" ref="G117:G122" si="5">$F$109</f>
        <v>0</v>
      </c>
      <c r="H117" s="176">
        <f t="shared" ref="H117:H122" si="6">I117+J117</f>
        <v>0</v>
      </c>
      <c r="I117" s="176">
        <v>0</v>
      </c>
      <c r="J117" s="176">
        <f>$L$113</f>
        <v>0</v>
      </c>
    </row>
    <row r="118" spans="1:20" ht="19.95" customHeight="1">
      <c r="A118" s="172" t="s">
        <v>514</v>
      </c>
      <c r="B118" s="169">
        <f t="shared" si="1"/>
        <v>0</v>
      </c>
      <c r="C118" s="169">
        <f t="shared" si="2"/>
        <v>0</v>
      </c>
      <c r="D118" s="169" t="e">
        <f t="shared" si="3"/>
        <v>#N/A</v>
      </c>
      <c r="E118" s="167" t="s">
        <v>517</v>
      </c>
      <c r="F118" s="175">
        <f t="shared" si="4"/>
        <v>0</v>
      </c>
      <c r="G118" s="175">
        <f t="shared" si="5"/>
        <v>0</v>
      </c>
      <c r="H118" s="176">
        <f t="shared" si="6"/>
        <v>0</v>
      </c>
      <c r="I118" s="176">
        <v>0</v>
      </c>
      <c r="J118" s="176">
        <f>$M$113</f>
        <v>0</v>
      </c>
    </row>
    <row r="119" spans="1:20" ht="19.95" customHeight="1">
      <c r="A119" s="172" t="s">
        <v>514</v>
      </c>
      <c r="B119" s="169">
        <f t="shared" si="1"/>
        <v>0</v>
      </c>
      <c r="C119" s="169">
        <f t="shared" si="2"/>
        <v>0</v>
      </c>
      <c r="D119" s="169" t="e">
        <f t="shared" si="3"/>
        <v>#N/A</v>
      </c>
      <c r="E119" s="167" t="s">
        <v>518</v>
      </c>
      <c r="F119" s="175">
        <f t="shared" si="4"/>
        <v>0</v>
      </c>
      <c r="G119" s="175">
        <f t="shared" si="5"/>
        <v>0</v>
      </c>
      <c r="H119" s="176">
        <f t="shared" si="6"/>
        <v>0</v>
      </c>
      <c r="I119" s="176">
        <v>0</v>
      </c>
      <c r="J119" s="176">
        <f>$N$113</f>
        <v>0</v>
      </c>
    </row>
    <row r="120" spans="1:20" ht="19.95" customHeight="1">
      <c r="A120" s="172" t="s">
        <v>514</v>
      </c>
      <c r="B120" s="169">
        <f t="shared" si="1"/>
        <v>0</v>
      </c>
      <c r="C120" s="169">
        <f t="shared" si="2"/>
        <v>0</v>
      </c>
      <c r="D120" s="169" t="e">
        <f t="shared" si="3"/>
        <v>#N/A</v>
      </c>
      <c r="E120" s="167" t="s">
        <v>519</v>
      </c>
      <c r="F120" s="175">
        <f t="shared" si="4"/>
        <v>0</v>
      </c>
      <c r="G120" s="175">
        <f t="shared" si="5"/>
        <v>0</v>
      </c>
      <c r="H120" s="176">
        <f t="shared" si="6"/>
        <v>0</v>
      </c>
      <c r="I120" s="176">
        <v>0</v>
      </c>
      <c r="J120" s="176">
        <f>$O$113</f>
        <v>0</v>
      </c>
    </row>
    <row r="121" spans="1:20" ht="19.95" customHeight="1">
      <c r="A121" s="172" t="s">
        <v>514</v>
      </c>
      <c r="B121" s="169">
        <f t="shared" si="1"/>
        <v>0</v>
      </c>
      <c r="C121" s="169">
        <f t="shared" si="2"/>
        <v>0</v>
      </c>
      <c r="D121" s="169" t="e">
        <f t="shared" si="3"/>
        <v>#N/A</v>
      </c>
      <c r="E121" s="167" t="s">
        <v>520</v>
      </c>
      <c r="F121" s="175">
        <f t="shared" si="4"/>
        <v>0</v>
      </c>
      <c r="G121" s="175">
        <f t="shared" si="5"/>
        <v>0</v>
      </c>
      <c r="H121" s="176">
        <f t="shared" si="6"/>
        <v>0</v>
      </c>
      <c r="I121" s="176">
        <v>0</v>
      </c>
      <c r="J121" s="176">
        <f>$P$113</f>
        <v>0</v>
      </c>
    </row>
    <row r="122" spans="1:20" ht="19.95" customHeight="1">
      <c r="A122" s="172" t="s">
        <v>514</v>
      </c>
      <c r="B122" s="169">
        <f t="shared" si="1"/>
        <v>0</v>
      </c>
      <c r="C122" s="169">
        <f t="shared" si="2"/>
        <v>0</v>
      </c>
      <c r="D122" s="169" t="e">
        <f t="shared" si="3"/>
        <v>#N/A</v>
      </c>
      <c r="E122" s="172" t="s">
        <v>524</v>
      </c>
      <c r="F122" s="175">
        <f t="shared" si="4"/>
        <v>0</v>
      </c>
      <c r="G122" s="175">
        <f t="shared" si="5"/>
        <v>0</v>
      </c>
      <c r="H122" s="176">
        <f t="shared" si="6"/>
        <v>0</v>
      </c>
      <c r="I122" s="176">
        <f>I113</f>
        <v>0</v>
      </c>
      <c r="J122" s="176">
        <f>$Q$113</f>
        <v>0</v>
      </c>
    </row>
  </sheetData>
  <sheetProtection formatCells="0" formatColumns="0" formatRows="0"/>
  <mergeCells count="118">
    <mergeCell ref="A1:B1"/>
    <mergeCell ref="A2:J2"/>
    <mergeCell ref="A3:J3"/>
    <mergeCell ref="B4:C4"/>
    <mergeCell ref="D4:E4"/>
    <mergeCell ref="G4:H4"/>
    <mergeCell ref="I4:J4"/>
    <mergeCell ref="B5:C5"/>
    <mergeCell ref="G5:J5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2:F32"/>
    <mergeCell ref="D33:F33"/>
    <mergeCell ref="D34:F34"/>
    <mergeCell ref="B35:C35"/>
    <mergeCell ref="D35:F35"/>
    <mergeCell ref="A36:B36"/>
    <mergeCell ref="A37:J37"/>
    <mergeCell ref="A38:J38"/>
    <mergeCell ref="B39:C39"/>
    <mergeCell ref="D39:E39"/>
    <mergeCell ref="G39:H39"/>
    <mergeCell ref="I39:J39"/>
    <mergeCell ref="B40:C40"/>
    <mergeCell ref="G40:J40"/>
    <mergeCell ref="D42:F42"/>
    <mergeCell ref="D43:F43"/>
    <mergeCell ref="D44:F44"/>
    <mergeCell ref="D45:F45"/>
    <mergeCell ref="D46:F46"/>
    <mergeCell ref="D47:F47"/>
    <mergeCell ref="D48:F48"/>
    <mergeCell ref="D49:F49"/>
    <mergeCell ref="D50:F50"/>
    <mergeCell ref="D51:F51"/>
    <mergeCell ref="D52:F52"/>
    <mergeCell ref="D53:F53"/>
    <mergeCell ref="D54:F54"/>
    <mergeCell ref="D55:F55"/>
    <mergeCell ref="D56:F56"/>
    <mergeCell ref="D57:F57"/>
    <mergeCell ref="D58:F58"/>
    <mergeCell ref="D59:F59"/>
    <mergeCell ref="D60:F60"/>
    <mergeCell ref="D61:F61"/>
    <mergeCell ref="D62:F62"/>
    <mergeCell ref="D63:F63"/>
    <mergeCell ref="D64:F64"/>
    <mergeCell ref="D65:F65"/>
    <mergeCell ref="D66:F66"/>
    <mergeCell ref="D67:F67"/>
    <mergeCell ref="D68:F68"/>
    <mergeCell ref="D69:F69"/>
    <mergeCell ref="D70:F70"/>
    <mergeCell ref="D71:F71"/>
    <mergeCell ref="D72:F72"/>
    <mergeCell ref="D73:F73"/>
    <mergeCell ref="D74:F74"/>
    <mergeCell ref="D75:F75"/>
    <mergeCell ref="D91:F91"/>
    <mergeCell ref="D92:F92"/>
    <mergeCell ref="D93:F93"/>
    <mergeCell ref="D76:F76"/>
    <mergeCell ref="D77:F77"/>
    <mergeCell ref="D78:F78"/>
    <mergeCell ref="D79:F79"/>
    <mergeCell ref="D80:F80"/>
    <mergeCell ref="D81:F81"/>
    <mergeCell ref="D82:F82"/>
    <mergeCell ref="D83:F83"/>
    <mergeCell ref="D84:F84"/>
    <mergeCell ref="B103:C103"/>
    <mergeCell ref="D103:F103"/>
    <mergeCell ref="A5:A6"/>
    <mergeCell ref="A40:A41"/>
    <mergeCell ref="K5:K6"/>
    <mergeCell ref="K40:K41"/>
    <mergeCell ref="D5:F6"/>
    <mergeCell ref="D40:F41"/>
    <mergeCell ref="D94:F94"/>
    <mergeCell ref="D95:F95"/>
    <mergeCell ref="D96:F96"/>
    <mergeCell ref="D97:F97"/>
    <mergeCell ref="D98:F98"/>
    <mergeCell ref="D99:F99"/>
    <mergeCell ref="D100:F100"/>
    <mergeCell ref="D101:F101"/>
    <mergeCell ref="B102:C102"/>
    <mergeCell ref="D102:F102"/>
    <mergeCell ref="D85:F85"/>
    <mergeCell ref="D86:F86"/>
    <mergeCell ref="D87:F87"/>
    <mergeCell ref="D88:F88"/>
    <mergeCell ref="D89:F89"/>
    <mergeCell ref="D90:F90"/>
  </mergeCells>
  <dataValidations count="1">
    <dataValidation allowBlank="1" showInputMessage="1" showErrorMessage="1" sqref="D7:F16 D17:F26 D48:F61 D27:F34 D62:F81 D82:F101 D42:F47" xr:uid="{00000000-0002-0000-0800-000000000000}"/>
  </dataValidations>
  <printOptions horizontalCentered="1" verticalCentered="1"/>
  <pageMargins left="0.39" right="0.39" top="0.39" bottom="0.39" header="0.51" footer="0.51"/>
  <pageSetup paperSize="9" scale="67" orientation="portrait" r:id="rId1"/>
  <headerFooter alignWithMargins="0"/>
  <rowBreaks count="1" manualBreakCount="1">
    <brk id="35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2:IV263"/>
  <sheetViews>
    <sheetView view="pageBreakPreview" zoomScaleNormal="100" workbookViewId="0">
      <selection activeCell="H20" sqref="H20"/>
    </sheetView>
  </sheetViews>
  <sheetFormatPr defaultColWidth="9" defaultRowHeight="15"/>
  <cols>
    <col min="1" max="1" width="3" style="87" customWidth="1"/>
    <col min="2" max="2" width="9.5" style="87" customWidth="1"/>
    <col min="3" max="4" width="15.3984375" style="87" customWidth="1"/>
    <col min="5" max="5" width="17.59765625" style="87" customWidth="1"/>
    <col min="6" max="10" width="17.59765625" style="90" customWidth="1"/>
    <col min="11" max="11" width="30.3984375" style="87" customWidth="1"/>
    <col min="12" max="12" width="18.3984375" style="87" customWidth="1"/>
    <col min="13" max="13" width="28.19921875" style="87" customWidth="1"/>
    <col min="14" max="15" width="9" style="87"/>
    <col min="16" max="16" width="22.8984375" style="87" customWidth="1"/>
    <col min="17" max="16384" width="9" style="87"/>
  </cols>
  <sheetData>
    <row r="2" spans="1:16" ht="8.1" customHeight="1">
      <c r="B2" s="412"/>
      <c r="C2" s="412"/>
      <c r="D2" s="412"/>
      <c r="E2" s="412"/>
      <c r="F2" s="412"/>
      <c r="G2" s="412"/>
      <c r="H2" s="412"/>
      <c r="I2" s="412"/>
      <c r="J2" s="412"/>
      <c r="K2" s="412"/>
    </row>
    <row r="3" spans="1:16" s="88" customFormat="1" ht="20.399999999999999">
      <c r="B3" s="420" t="s">
        <v>527</v>
      </c>
      <c r="C3" s="420"/>
      <c r="D3" s="420"/>
      <c r="E3" s="420"/>
      <c r="F3" s="420"/>
      <c r="G3" s="420"/>
      <c r="H3" s="420"/>
      <c r="I3" s="420"/>
      <c r="J3" s="420"/>
      <c r="K3" s="420"/>
      <c r="L3" s="115"/>
    </row>
    <row r="4" spans="1:16" s="88" customFormat="1" ht="36" customHeight="1"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115"/>
    </row>
    <row r="5" spans="1:16" s="88" customFormat="1" ht="29.1" customHeight="1">
      <c r="A5" s="87"/>
      <c r="B5" s="413" t="s">
        <v>488</v>
      </c>
      <c r="C5" s="414"/>
      <c r="D5" s="415"/>
      <c r="E5" s="416" t="s">
        <v>507</v>
      </c>
      <c r="F5" s="417"/>
      <c r="G5" s="416" t="s">
        <v>528</v>
      </c>
      <c r="H5" s="417"/>
      <c r="I5" s="418" t="s">
        <v>529</v>
      </c>
      <c r="J5" s="419"/>
      <c r="K5" s="116" t="s">
        <v>530</v>
      </c>
      <c r="L5" s="117"/>
      <c r="M5" s="87" t="s">
        <v>531</v>
      </c>
    </row>
    <row r="6" spans="1:16" s="88" customFormat="1" ht="36" customHeight="1">
      <c r="A6" s="87"/>
      <c r="B6" s="405" t="str">
        <f>'Signatures that need to be read'!F7</f>
        <v>体系2</v>
      </c>
      <c r="C6" s="405"/>
      <c r="D6" s="405"/>
      <c r="E6" s="406">
        <f>'Signatures that need to be read'!D6</f>
        <v>0</v>
      </c>
      <c r="F6" s="407"/>
      <c r="G6" s="406" t="str">
        <f>M7</f>
        <v>CCL2023TJC0YST0185</v>
      </c>
      <c r="H6" s="407"/>
      <c r="I6" s="408" t="s">
        <v>532</v>
      </c>
      <c r="J6" s="409"/>
      <c r="K6" s="118" t="s">
        <v>533</v>
      </c>
      <c r="L6" s="119"/>
      <c r="M6" s="120" t="s">
        <v>534</v>
      </c>
    </row>
    <row r="7" spans="1:16" ht="27.9" customHeight="1">
      <c r="B7" s="92" t="s">
        <v>535</v>
      </c>
      <c r="C7" s="93" t="s">
        <v>536</v>
      </c>
      <c r="D7" s="93" t="s">
        <v>537</v>
      </c>
      <c r="E7" s="94" t="s">
        <v>538</v>
      </c>
      <c r="F7" s="95" t="s">
        <v>539</v>
      </c>
      <c r="G7" s="95" t="s">
        <v>540</v>
      </c>
      <c r="H7" s="95" t="s">
        <v>541</v>
      </c>
      <c r="I7" s="95" t="s">
        <v>542</v>
      </c>
      <c r="J7" s="121" t="s">
        <v>543</v>
      </c>
      <c r="K7" s="401" t="s">
        <v>544</v>
      </c>
      <c r="L7" s="122"/>
      <c r="M7" s="20" t="s">
        <v>545</v>
      </c>
      <c r="O7" s="123"/>
      <c r="P7" s="124"/>
    </row>
    <row r="8" spans="1:16" ht="27.9" customHeight="1">
      <c r="B8" s="96">
        <v>1</v>
      </c>
      <c r="C8" s="97">
        <f>电子版收费单!F4</f>
        <v>0</v>
      </c>
      <c r="D8" s="98" t="e">
        <f>电子版收费单!N8</f>
        <v>#N/A</v>
      </c>
      <c r="E8" s="99">
        <f>G8+I8</f>
        <v>0</v>
      </c>
      <c r="F8" s="99">
        <f>H8+J8</f>
        <v>0</v>
      </c>
      <c r="G8" s="99">
        <f>ROUND(H8*1.09,2)</f>
        <v>0</v>
      </c>
      <c r="H8" s="99">
        <f>电子版收费单!J35</f>
        <v>0</v>
      </c>
      <c r="I8" s="99">
        <f>ROUND(J8*1.09,2)</f>
        <v>0</v>
      </c>
      <c r="J8" s="114">
        <f>电子版收费单!J102</f>
        <v>0</v>
      </c>
      <c r="K8" s="401"/>
      <c r="L8" s="122"/>
      <c r="M8" s="21" t="s">
        <v>546</v>
      </c>
      <c r="O8" s="123" t="s">
        <v>547</v>
      </c>
      <c r="P8" s="124" t="e">
        <f>PHONETIC(O8:O13)</f>
        <v>#N/A</v>
      </c>
    </row>
    <row r="9" spans="1:16" ht="27.9" customHeight="1">
      <c r="B9" s="96"/>
      <c r="C9" s="91"/>
      <c r="D9" s="91"/>
      <c r="E9" s="100"/>
      <c r="F9" s="99"/>
      <c r="G9" s="99"/>
      <c r="H9" s="99"/>
      <c r="I9" s="99"/>
      <c r="J9" s="114"/>
      <c r="K9" s="401"/>
      <c r="L9" s="122"/>
      <c r="M9" s="21"/>
      <c r="O9" s="123" t="s">
        <v>548</v>
      </c>
    </row>
    <row r="10" spans="1:16" ht="27.9" customHeight="1">
      <c r="B10" s="96"/>
      <c r="C10" s="91"/>
      <c r="D10" s="91"/>
      <c r="E10" s="101"/>
      <c r="F10" s="99"/>
      <c r="G10" s="99"/>
      <c r="H10" s="99"/>
      <c r="I10" s="99"/>
      <c r="J10" s="114"/>
      <c r="K10" s="401"/>
      <c r="L10" s="122"/>
      <c r="M10" s="125">
        <v>0.8</v>
      </c>
      <c r="O10" s="123" t="s">
        <v>549</v>
      </c>
    </row>
    <row r="11" spans="1:16" ht="27.9" customHeight="1">
      <c r="B11" s="96"/>
      <c r="C11" s="91"/>
      <c r="D11" s="91"/>
      <c r="E11" s="101"/>
      <c r="F11" s="99"/>
      <c r="G11" s="99"/>
      <c r="H11" s="99"/>
      <c r="I11" s="99"/>
      <c r="J11" s="114"/>
      <c r="K11" s="402" t="s">
        <v>550</v>
      </c>
      <c r="L11" s="122"/>
      <c r="M11" s="125">
        <v>0.85</v>
      </c>
      <c r="O11" s="123" t="s">
        <v>551</v>
      </c>
    </row>
    <row r="12" spans="1:16" ht="27.9" customHeight="1">
      <c r="B12" s="96"/>
      <c r="C12" s="91"/>
      <c r="D12" s="91"/>
      <c r="E12" s="101"/>
      <c r="F12" s="99"/>
      <c r="G12" s="99"/>
      <c r="H12" s="99"/>
      <c r="I12" s="99"/>
      <c r="J12" s="114"/>
      <c r="K12" s="403"/>
      <c r="L12" s="122"/>
      <c r="M12" s="125">
        <v>0.9</v>
      </c>
      <c r="O12" s="123" t="s">
        <v>552</v>
      </c>
    </row>
    <row r="13" spans="1:16" ht="27.9" customHeight="1">
      <c r="B13" s="96"/>
      <c r="C13" s="91"/>
      <c r="D13" s="91"/>
      <c r="E13" s="101"/>
      <c r="F13" s="99"/>
      <c r="G13" s="99"/>
      <c r="H13" s="99"/>
      <c r="I13" s="99"/>
      <c r="J13" s="114"/>
      <c r="K13" s="403"/>
      <c r="L13" s="122"/>
      <c r="M13" s="125">
        <v>0.95</v>
      </c>
      <c r="O13" s="123">
        <f>'电子版收费单 (6)'!I4</f>
        <v>0</v>
      </c>
    </row>
    <row r="14" spans="1:16" ht="27.9" customHeight="1">
      <c r="B14" s="96"/>
      <c r="C14" s="91"/>
      <c r="D14" s="91"/>
      <c r="E14" s="101"/>
      <c r="F14" s="99"/>
      <c r="G14" s="99"/>
      <c r="H14" s="99"/>
      <c r="I14" s="99"/>
      <c r="J14" s="114"/>
      <c r="K14" s="403"/>
      <c r="L14" s="122"/>
      <c r="M14" s="125"/>
    </row>
    <row r="15" spans="1:16" ht="27.9" customHeight="1">
      <c r="B15" s="96"/>
      <c r="C15" s="91"/>
      <c r="D15" s="91"/>
      <c r="E15" s="101"/>
      <c r="F15" s="99"/>
      <c r="G15" s="99"/>
      <c r="H15" s="99"/>
      <c r="I15" s="99"/>
      <c r="J15" s="114"/>
      <c r="K15" s="403"/>
      <c r="L15" s="122"/>
      <c r="M15" s="125">
        <v>1</v>
      </c>
    </row>
    <row r="16" spans="1:16" ht="27.9" customHeight="1">
      <c r="B16" s="96"/>
      <c r="C16" s="91"/>
      <c r="D16" s="91"/>
      <c r="E16" s="102"/>
      <c r="F16" s="99"/>
      <c r="G16" s="99"/>
      <c r="H16" s="99"/>
      <c r="I16" s="99"/>
      <c r="J16" s="114"/>
      <c r="K16" s="403"/>
      <c r="L16" s="122"/>
    </row>
    <row r="17" spans="1:256" ht="27.9" customHeight="1">
      <c r="B17" s="96"/>
      <c r="C17" s="91"/>
      <c r="D17" s="91"/>
      <c r="E17" s="101"/>
      <c r="F17" s="99"/>
      <c r="G17" s="99"/>
      <c r="H17" s="99"/>
      <c r="I17" s="99"/>
      <c r="J17" s="114"/>
      <c r="K17" s="403"/>
      <c r="L17" s="122"/>
      <c r="M17" s="120"/>
    </row>
    <row r="18" spans="1:256" ht="27.9" customHeight="1">
      <c r="B18" s="96"/>
      <c r="C18" s="91"/>
      <c r="D18" s="91"/>
      <c r="E18" s="101"/>
      <c r="F18" s="99"/>
      <c r="G18" s="99"/>
      <c r="H18" s="99"/>
      <c r="I18" s="99"/>
      <c r="J18" s="114"/>
      <c r="K18" s="404"/>
      <c r="L18" s="122"/>
    </row>
    <row r="19" spans="1:256" ht="27.9" customHeight="1">
      <c r="B19" s="96"/>
      <c r="C19" s="91"/>
      <c r="D19" s="91"/>
      <c r="E19" s="101"/>
      <c r="F19" s="99"/>
      <c r="G19" s="99"/>
      <c r="H19" s="99"/>
      <c r="I19" s="99"/>
      <c r="J19" s="114"/>
      <c r="K19" s="401" t="s">
        <v>553</v>
      </c>
      <c r="L19" s="122"/>
    </row>
    <row r="20" spans="1:256" ht="27.9" customHeight="1">
      <c r="B20" s="96"/>
      <c r="C20" s="91"/>
      <c r="D20" s="91"/>
      <c r="E20" s="101"/>
      <c r="F20" s="99"/>
      <c r="G20" s="99"/>
      <c r="H20" s="99"/>
      <c r="I20" s="99"/>
      <c r="J20" s="114"/>
      <c r="K20" s="401"/>
      <c r="L20" s="122"/>
    </row>
    <row r="21" spans="1:256" ht="27.9" customHeight="1">
      <c r="B21" s="96"/>
      <c r="C21" s="91"/>
      <c r="D21" s="91"/>
      <c r="E21" s="101"/>
      <c r="F21" s="99"/>
      <c r="G21" s="99"/>
      <c r="H21" s="99"/>
      <c r="I21" s="99"/>
      <c r="J21" s="114"/>
      <c r="K21" s="401"/>
      <c r="L21" s="122"/>
    </row>
    <row r="22" spans="1:256" ht="27.9" customHeight="1">
      <c r="B22" s="96"/>
      <c r="C22" s="91"/>
      <c r="D22" s="91"/>
      <c r="E22" s="101"/>
      <c r="F22" s="99"/>
      <c r="G22" s="99"/>
      <c r="H22" s="99"/>
      <c r="I22" s="99"/>
      <c r="J22" s="114"/>
      <c r="K22" s="401"/>
      <c r="L22" s="122"/>
    </row>
    <row r="23" spans="1:256" ht="27.9" customHeight="1">
      <c r="B23" s="96"/>
      <c r="C23" s="91"/>
      <c r="D23" s="91"/>
      <c r="E23" s="101"/>
      <c r="F23" s="99"/>
      <c r="G23" s="99"/>
      <c r="H23" s="99"/>
      <c r="I23" s="99"/>
      <c r="J23" s="114"/>
      <c r="K23" s="401" t="s">
        <v>554</v>
      </c>
      <c r="L23" s="122"/>
    </row>
    <row r="24" spans="1:256" s="89" customFormat="1" ht="27.9" customHeight="1">
      <c r="A24" s="87"/>
      <c r="B24" s="96"/>
      <c r="C24" s="103"/>
      <c r="D24" s="91"/>
      <c r="E24" s="101"/>
      <c r="F24" s="99"/>
      <c r="G24" s="99"/>
      <c r="H24" s="99"/>
      <c r="I24" s="99"/>
      <c r="J24" s="99"/>
      <c r="K24" s="401"/>
      <c r="L24" s="122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  <c r="BH24" s="87"/>
      <c r="BI24" s="87"/>
      <c r="BJ24" s="87"/>
      <c r="BK24" s="87"/>
      <c r="BL24" s="87"/>
      <c r="BM24" s="87"/>
      <c r="BN24" s="87"/>
      <c r="BO24" s="87"/>
      <c r="BP24" s="87"/>
      <c r="BQ24" s="87"/>
      <c r="BR24" s="87"/>
      <c r="BS24" s="87"/>
      <c r="BT24" s="87"/>
      <c r="BU24" s="87"/>
      <c r="BV24" s="87"/>
      <c r="BW24" s="87"/>
      <c r="BX24" s="87"/>
      <c r="BY24" s="87"/>
      <c r="BZ24" s="87"/>
      <c r="CA24" s="87"/>
      <c r="CB24" s="87"/>
      <c r="CC24" s="87"/>
      <c r="CD24" s="87"/>
      <c r="CE24" s="87"/>
      <c r="CF24" s="87"/>
      <c r="CG24" s="87"/>
      <c r="CH24" s="87"/>
      <c r="CI24" s="87"/>
      <c r="CJ24" s="87"/>
      <c r="CK24" s="87"/>
      <c r="CL24" s="87"/>
      <c r="CM24" s="87"/>
      <c r="CN24" s="87"/>
      <c r="CO24" s="87"/>
      <c r="CP24" s="87"/>
      <c r="CQ24" s="87"/>
      <c r="CR24" s="87"/>
      <c r="CS24" s="87"/>
      <c r="CT24" s="87"/>
      <c r="CU24" s="87"/>
      <c r="CV24" s="87"/>
      <c r="CW24" s="87"/>
      <c r="CX24" s="87"/>
      <c r="CY24" s="87"/>
      <c r="CZ24" s="87"/>
      <c r="DA24" s="87"/>
      <c r="DB24" s="87"/>
      <c r="DC24" s="87"/>
      <c r="DD24" s="87"/>
      <c r="DE24" s="87"/>
      <c r="DF24" s="87"/>
      <c r="DG24" s="87"/>
      <c r="DH24" s="87"/>
      <c r="DI24" s="87"/>
      <c r="DJ24" s="87"/>
      <c r="DK24" s="87"/>
      <c r="DL24" s="87"/>
      <c r="DM24" s="87"/>
      <c r="DN24" s="87"/>
      <c r="DO24" s="87"/>
      <c r="DP24" s="87"/>
      <c r="DQ24" s="87"/>
      <c r="DR24" s="87"/>
      <c r="DS24" s="87"/>
      <c r="DT24" s="87"/>
      <c r="DU24" s="87"/>
      <c r="DV24" s="87"/>
      <c r="DW24" s="87"/>
      <c r="DX24" s="87"/>
      <c r="DY24" s="87"/>
      <c r="DZ24" s="87"/>
      <c r="EA24" s="87"/>
      <c r="EB24" s="87"/>
      <c r="EC24" s="87"/>
      <c r="ED24" s="87"/>
      <c r="EE24" s="87"/>
      <c r="EF24" s="87"/>
      <c r="EG24" s="87"/>
      <c r="EH24" s="87"/>
      <c r="EI24" s="87"/>
      <c r="EJ24" s="87"/>
      <c r="EK24" s="87"/>
      <c r="EL24" s="87"/>
      <c r="EM24" s="87"/>
      <c r="EN24" s="87"/>
      <c r="EO24" s="87"/>
      <c r="EP24" s="87"/>
      <c r="EQ24" s="87"/>
      <c r="ER24" s="87"/>
      <c r="ES24" s="87"/>
      <c r="ET24" s="87"/>
      <c r="EU24" s="87"/>
      <c r="EV24" s="87"/>
      <c r="EW24" s="87"/>
      <c r="EX24" s="87"/>
      <c r="EY24" s="87"/>
      <c r="EZ24" s="87"/>
      <c r="FA24" s="87"/>
      <c r="FB24" s="87"/>
      <c r="FC24" s="87"/>
      <c r="FD24" s="87"/>
      <c r="FE24" s="87"/>
      <c r="FF24" s="87"/>
      <c r="FG24" s="87"/>
      <c r="FH24" s="87"/>
      <c r="FI24" s="87"/>
      <c r="FJ24" s="87"/>
      <c r="FK24" s="87"/>
      <c r="FL24" s="87"/>
      <c r="FM24" s="87"/>
      <c r="FN24" s="87"/>
      <c r="FO24" s="87"/>
      <c r="FP24" s="87"/>
      <c r="FQ24" s="87"/>
      <c r="FR24" s="87"/>
      <c r="FS24" s="87"/>
      <c r="FT24" s="87"/>
      <c r="FU24" s="87"/>
      <c r="FV24" s="87"/>
      <c r="FW24" s="87"/>
      <c r="FX24" s="87"/>
      <c r="FY24" s="87"/>
      <c r="FZ24" s="87"/>
      <c r="GA24" s="87"/>
      <c r="GB24" s="87"/>
      <c r="GC24" s="87"/>
      <c r="GD24" s="87"/>
      <c r="GE24" s="87"/>
      <c r="GF24" s="87"/>
      <c r="GG24" s="87"/>
      <c r="GH24" s="87"/>
      <c r="GI24" s="87"/>
      <c r="GJ24" s="87"/>
      <c r="GK24" s="87"/>
      <c r="GL24" s="87"/>
      <c r="GM24" s="87"/>
      <c r="GN24" s="87"/>
      <c r="GO24" s="87"/>
      <c r="GP24" s="87"/>
      <c r="GQ24" s="87"/>
      <c r="GR24" s="87"/>
      <c r="GS24" s="87"/>
      <c r="GT24" s="87"/>
      <c r="GU24" s="87"/>
      <c r="GV24" s="87"/>
      <c r="GW24" s="87"/>
      <c r="GX24" s="87"/>
      <c r="GY24" s="87"/>
      <c r="GZ24" s="87"/>
      <c r="HA24" s="87"/>
      <c r="HB24" s="87"/>
      <c r="HC24" s="87"/>
      <c r="HD24" s="87"/>
      <c r="HE24" s="87"/>
      <c r="HF24" s="87"/>
      <c r="HG24" s="87"/>
      <c r="HH24" s="87"/>
      <c r="HI24" s="87"/>
      <c r="HJ24" s="87"/>
      <c r="HK24" s="87"/>
      <c r="HL24" s="87"/>
      <c r="HM24" s="87"/>
      <c r="HN24" s="87"/>
      <c r="HO24" s="87"/>
      <c r="HP24" s="87"/>
      <c r="HQ24" s="87"/>
      <c r="HR24" s="87"/>
      <c r="HS24" s="87"/>
      <c r="HT24" s="87"/>
      <c r="HU24" s="87"/>
      <c r="HV24" s="87"/>
      <c r="HW24" s="87"/>
      <c r="HX24" s="87"/>
      <c r="HY24" s="87"/>
      <c r="HZ24" s="87"/>
      <c r="IA24" s="87"/>
      <c r="IB24" s="87"/>
      <c r="IC24" s="87"/>
      <c r="ID24" s="87"/>
      <c r="IE24" s="87"/>
      <c r="IF24" s="87"/>
      <c r="IG24" s="87"/>
      <c r="IH24" s="87"/>
      <c r="II24" s="87"/>
      <c r="IJ24" s="87"/>
      <c r="IK24" s="87"/>
      <c r="IL24" s="87"/>
      <c r="IM24" s="87"/>
      <c r="IN24" s="87"/>
      <c r="IO24" s="87"/>
      <c r="IP24" s="87"/>
      <c r="IQ24" s="87"/>
      <c r="IR24" s="87"/>
      <c r="IS24" s="87"/>
      <c r="IT24" s="87"/>
      <c r="IU24" s="87"/>
      <c r="IV24" s="87"/>
    </row>
    <row r="25" spans="1:256" s="89" customFormat="1" ht="27.9" customHeight="1">
      <c r="A25" s="87"/>
      <c r="B25" s="399" t="s">
        <v>555</v>
      </c>
      <c r="C25" s="410" t="s">
        <v>556</v>
      </c>
      <c r="D25" s="411"/>
      <c r="E25" s="104">
        <f t="shared" ref="E25:J25" si="0">SUM(E8:E23)</f>
        <v>0</v>
      </c>
      <c r="F25" s="105">
        <f t="shared" si="0"/>
        <v>0</v>
      </c>
      <c r="G25" s="105">
        <f t="shared" si="0"/>
        <v>0</v>
      </c>
      <c r="H25" s="105">
        <f t="shared" si="0"/>
        <v>0</v>
      </c>
      <c r="I25" s="105">
        <f t="shared" si="0"/>
        <v>0</v>
      </c>
      <c r="J25" s="105">
        <f t="shared" si="0"/>
        <v>0</v>
      </c>
      <c r="K25" s="401"/>
      <c r="L25" s="126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G25" s="87"/>
      <c r="BH25" s="87"/>
      <c r="BI25" s="87"/>
      <c r="BJ25" s="87"/>
      <c r="BK25" s="87"/>
      <c r="BL25" s="87"/>
      <c r="BM25" s="87"/>
      <c r="BN25" s="87"/>
      <c r="BO25" s="87"/>
      <c r="BP25" s="87"/>
      <c r="BQ25" s="87"/>
      <c r="BR25" s="87"/>
      <c r="BS25" s="87"/>
      <c r="BT25" s="87"/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87"/>
      <c r="CQ25" s="87"/>
      <c r="CR25" s="87"/>
      <c r="CS25" s="87"/>
      <c r="CT25" s="87"/>
      <c r="CU25" s="87"/>
      <c r="CV25" s="87"/>
      <c r="CW25" s="87"/>
      <c r="CX25" s="87"/>
      <c r="CY25" s="87"/>
      <c r="CZ25" s="87"/>
      <c r="DA25" s="87"/>
      <c r="DB25" s="87"/>
      <c r="DC25" s="87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87"/>
      <c r="DS25" s="87"/>
      <c r="DT25" s="87"/>
      <c r="DU25" s="87"/>
      <c r="DV25" s="87"/>
      <c r="DW25" s="87"/>
      <c r="DX25" s="87"/>
      <c r="DY25" s="87"/>
      <c r="DZ25" s="87"/>
      <c r="EA25" s="87"/>
      <c r="EB25" s="87"/>
      <c r="EC25" s="87"/>
      <c r="ED25" s="87"/>
      <c r="EE25" s="87"/>
      <c r="EF25" s="87"/>
      <c r="EG25" s="87"/>
      <c r="EH25" s="87"/>
      <c r="EI25" s="87"/>
      <c r="EJ25" s="87"/>
      <c r="EK25" s="87"/>
      <c r="EL25" s="87"/>
      <c r="EM25" s="87"/>
      <c r="EN25" s="87"/>
      <c r="EO25" s="87"/>
      <c r="EP25" s="87"/>
      <c r="EQ25" s="87"/>
      <c r="ER25" s="87"/>
      <c r="ES25" s="87"/>
      <c r="ET25" s="87"/>
      <c r="EU25" s="87"/>
      <c r="EV25" s="87"/>
      <c r="EW25" s="87"/>
      <c r="EX25" s="87"/>
      <c r="EY25" s="87"/>
      <c r="EZ25" s="87"/>
      <c r="FA25" s="87"/>
      <c r="FB25" s="87"/>
      <c r="FC25" s="87"/>
      <c r="FD25" s="87"/>
      <c r="FE25" s="87"/>
      <c r="FF25" s="87"/>
      <c r="FG25" s="87"/>
      <c r="FH25" s="87"/>
      <c r="FI25" s="87"/>
      <c r="FJ25" s="87"/>
      <c r="FK25" s="87"/>
      <c r="FL25" s="87"/>
      <c r="FM25" s="87"/>
      <c r="FN25" s="87"/>
      <c r="FO25" s="87"/>
      <c r="FP25" s="87"/>
      <c r="FQ25" s="87"/>
      <c r="FR25" s="87"/>
      <c r="FS25" s="87"/>
      <c r="FT25" s="87"/>
      <c r="FU25" s="87"/>
      <c r="FV25" s="87"/>
      <c r="FW25" s="87"/>
      <c r="FX25" s="87"/>
      <c r="FY25" s="87"/>
      <c r="FZ25" s="87"/>
      <c r="GA25" s="87"/>
      <c r="GB25" s="87"/>
      <c r="GC25" s="87"/>
      <c r="GD25" s="87"/>
      <c r="GE25" s="87"/>
      <c r="GF25" s="87"/>
      <c r="GG25" s="87"/>
      <c r="GH25" s="87"/>
      <c r="GI25" s="87"/>
      <c r="GJ25" s="87"/>
      <c r="GK25" s="87"/>
      <c r="GL25" s="87"/>
      <c r="GM25" s="87"/>
      <c r="GN25" s="87"/>
      <c r="GO25" s="87"/>
      <c r="GP25" s="87"/>
      <c r="GQ25" s="87"/>
      <c r="GR25" s="87"/>
      <c r="GS25" s="87"/>
      <c r="GT25" s="87"/>
      <c r="GU25" s="87"/>
      <c r="GV25" s="87"/>
      <c r="GW25" s="87"/>
      <c r="GX25" s="87"/>
      <c r="GY25" s="87"/>
      <c r="GZ25" s="87"/>
      <c r="HA25" s="87"/>
      <c r="HB25" s="87"/>
      <c r="HC25" s="87"/>
      <c r="HD25" s="87"/>
      <c r="HE25" s="87"/>
      <c r="HF25" s="87"/>
      <c r="HG25" s="87"/>
      <c r="HH25" s="87"/>
      <c r="HI25" s="87"/>
      <c r="HJ25" s="87"/>
      <c r="HK25" s="87"/>
      <c r="HL25" s="87"/>
      <c r="HM25" s="87"/>
      <c r="HN25" s="87"/>
      <c r="HO25" s="87"/>
      <c r="HP25" s="87"/>
      <c r="HQ25" s="87"/>
      <c r="HR25" s="87"/>
      <c r="HS25" s="87"/>
      <c r="HT25" s="87"/>
      <c r="HU25" s="87"/>
      <c r="HV25" s="87"/>
      <c r="HW25" s="87"/>
      <c r="HX25" s="87"/>
      <c r="HY25" s="87"/>
      <c r="HZ25" s="87"/>
      <c r="IA25" s="87"/>
      <c r="IB25" s="87"/>
      <c r="IC25" s="87"/>
      <c r="ID25" s="87"/>
      <c r="IE25" s="87"/>
      <c r="IF25" s="87"/>
      <c r="IG25" s="87"/>
      <c r="IH25" s="87"/>
      <c r="II25" s="87"/>
      <c r="IJ25" s="87"/>
      <c r="IK25" s="87"/>
      <c r="IL25" s="87"/>
      <c r="IM25" s="87"/>
      <c r="IN25" s="87"/>
      <c r="IO25" s="87"/>
      <c r="IP25" s="87"/>
      <c r="IQ25" s="87"/>
      <c r="IR25" s="87"/>
      <c r="IS25" s="87"/>
      <c r="IT25" s="87"/>
      <c r="IU25" s="87"/>
      <c r="IV25" s="87"/>
    </row>
    <row r="26" spans="1:256" customFormat="1" ht="27.9" customHeight="1">
      <c r="A26" s="87"/>
      <c r="B26" s="400"/>
      <c r="C26" s="106">
        <v>0.09</v>
      </c>
      <c r="D26" s="107" t="s">
        <v>557</v>
      </c>
      <c r="E26" s="396">
        <f>E25-F25</f>
        <v>0</v>
      </c>
      <c r="F26" s="397"/>
      <c r="G26" s="397"/>
      <c r="H26" s="397"/>
      <c r="I26" s="397"/>
      <c r="J26" s="398"/>
      <c r="K26" s="401"/>
      <c r="L26" s="126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7"/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</row>
    <row r="27" spans="1:256" s="89" customFormat="1" ht="27.9" hidden="1" customHeight="1">
      <c r="A27" s="87"/>
      <c r="B27" s="108"/>
      <c r="C27" s="109" t="s">
        <v>558</v>
      </c>
      <c r="D27" s="110">
        <v>1</v>
      </c>
      <c r="E27" s="396"/>
      <c r="F27" s="397"/>
      <c r="G27" s="397"/>
      <c r="H27" s="397"/>
      <c r="I27" s="397"/>
      <c r="J27" s="398"/>
      <c r="K27" s="12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G27" s="87"/>
      <c r="BH27" s="87"/>
      <c r="BI27" s="87"/>
      <c r="BJ27" s="87"/>
      <c r="BK27" s="87"/>
      <c r="BL27" s="87"/>
      <c r="BM27" s="87"/>
      <c r="BN27" s="87"/>
      <c r="BO27" s="87"/>
      <c r="BP27" s="87"/>
      <c r="BQ27" s="87"/>
      <c r="BR27" s="87"/>
      <c r="BS27" s="87"/>
      <c r="BT27" s="87"/>
      <c r="BU27" s="87"/>
      <c r="BV27" s="87"/>
      <c r="BW27" s="87"/>
      <c r="BX27" s="87"/>
      <c r="BY27" s="87"/>
      <c r="BZ27" s="87"/>
      <c r="CA27" s="87"/>
      <c r="CB27" s="87"/>
      <c r="CC27" s="87"/>
      <c r="CD27" s="87"/>
      <c r="CE27" s="87"/>
      <c r="CF27" s="87"/>
      <c r="CG27" s="87"/>
      <c r="CH27" s="87"/>
      <c r="CI27" s="87"/>
      <c r="CJ27" s="87"/>
      <c r="CK27" s="87"/>
      <c r="CL27" s="87"/>
      <c r="CM27" s="87"/>
      <c r="CN27" s="87"/>
      <c r="CO27" s="87"/>
      <c r="CP27" s="87"/>
      <c r="CQ27" s="87"/>
      <c r="CR27" s="87"/>
      <c r="CS27" s="87"/>
      <c r="CT27" s="87"/>
      <c r="CU27" s="87"/>
      <c r="CV27" s="87"/>
      <c r="CW27" s="87"/>
      <c r="CX27" s="87"/>
      <c r="CY27" s="87"/>
      <c r="CZ27" s="87"/>
      <c r="DA27" s="87"/>
      <c r="DB27" s="87"/>
      <c r="DC27" s="87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87"/>
      <c r="DQ27" s="87"/>
      <c r="DR27" s="87"/>
      <c r="DS27" s="87"/>
      <c r="DT27" s="87"/>
      <c r="DU27" s="87"/>
      <c r="DV27" s="87"/>
      <c r="DW27" s="87"/>
      <c r="DX27" s="87"/>
      <c r="DY27" s="87"/>
      <c r="DZ27" s="87"/>
      <c r="EA27" s="87"/>
      <c r="EB27" s="87"/>
      <c r="EC27" s="87"/>
      <c r="ED27" s="87"/>
      <c r="EE27" s="87"/>
      <c r="EF27" s="87"/>
      <c r="EG27" s="87"/>
      <c r="EH27" s="87"/>
      <c r="EI27" s="87"/>
      <c r="EJ27" s="87"/>
      <c r="EK27" s="87"/>
      <c r="EL27" s="87"/>
      <c r="EM27" s="87"/>
      <c r="EN27" s="87"/>
      <c r="EO27" s="87"/>
      <c r="EP27" s="87"/>
      <c r="EQ27" s="87"/>
      <c r="ER27" s="87"/>
      <c r="ES27" s="87"/>
      <c r="ET27" s="87"/>
      <c r="EU27" s="87"/>
      <c r="EV27" s="87"/>
      <c r="EW27" s="87"/>
      <c r="EX27" s="87"/>
      <c r="EY27" s="87"/>
      <c r="EZ27" s="87"/>
      <c r="FA27" s="87"/>
      <c r="FB27" s="87"/>
      <c r="FC27" s="87"/>
      <c r="FD27" s="87"/>
      <c r="FE27" s="87"/>
      <c r="FF27" s="87"/>
      <c r="FG27" s="87"/>
      <c r="FH27" s="87"/>
      <c r="FI27" s="87"/>
      <c r="FJ27" s="87"/>
      <c r="FK27" s="87"/>
      <c r="FL27" s="87"/>
      <c r="FM27" s="87"/>
      <c r="FN27" s="87"/>
      <c r="FO27" s="87"/>
      <c r="FP27" s="87"/>
      <c r="FQ27" s="87"/>
      <c r="FR27" s="87"/>
      <c r="FS27" s="87"/>
      <c r="FT27" s="87"/>
      <c r="FU27" s="87"/>
      <c r="FV27" s="87"/>
      <c r="FW27" s="87"/>
      <c r="FX27" s="87"/>
      <c r="FY27" s="87"/>
      <c r="FZ27" s="87"/>
      <c r="GA27" s="87"/>
      <c r="GB27" s="87"/>
      <c r="GC27" s="87"/>
      <c r="GD27" s="87"/>
      <c r="GE27" s="87"/>
      <c r="GF27" s="87"/>
      <c r="GG27" s="87"/>
      <c r="GH27" s="87"/>
      <c r="GI27" s="87"/>
      <c r="GJ27" s="87"/>
      <c r="GK27" s="87"/>
      <c r="GL27" s="87"/>
      <c r="GM27" s="87"/>
      <c r="GN27" s="87"/>
      <c r="GO27" s="87"/>
      <c r="GP27" s="87"/>
      <c r="GQ27" s="87"/>
      <c r="GR27" s="87"/>
      <c r="GS27" s="87"/>
      <c r="GT27" s="87"/>
      <c r="GU27" s="87"/>
      <c r="GV27" s="87"/>
      <c r="GW27" s="87"/>
      <c r="GX27" s="87"/>
      <c r="GY27" s="87"/>
      <c r="GZ27" s="87"/>
      <c r="HA27" s="87"/>
      <c r="HB27" s="87"/>
      <c r="HC27" s="87"/>
      <c r="HD27" s="87"/>
      <c r="HE27" s="87"/>
      <c r="HF27" s="87"/>
      <c r="HG27" s="87"/>
      <c r="HH27" s="87"/>
      <c r="HI27" s="87"/>
      <c r="HJ27" s="87"/>
      <c r="HK27" s="87"/>
      <c r="HL27" s="87"/>
      <c r="HM27" s="87"/>
      <c r="HN27" s="87"/>
      <c r="HO27" s="87"/>
      <c r="HP27" s="87"/>
      <c r="HQ27" s="87"/>
      <c r="HR27" s="87"/>
      <c r="HS27" s="87"/>
      <c r="HT27" s="87"/>
      <c r="HU27" s="87"/>
      <c r="HV27" s="87"/>
      <c r="HW27" s="87"/>
      <c r="HX27" s="87"/>
      <c r="HY27" s="87"/>
      <c r="HZ27" s="87"/>
      <c r="IA27" s="87"/>
      <c r="IB27" s="87"/>
      <c r="IC27" s="87"/>
      <c r="ID27" s="87"/>
      <c r="IE27" s="87"/>
      <c r="IF27" s="87"/>
      <c r="IG27" s="87"/>
      <c r="IH27" s="87"/>
      <c r="II27" s="87"/>
      <c r="IJ27" s="87"/>
      <c r="IK27" s="87"/>
      <c r="IL27" s="87"/>
      <c r="IM27" s="87"/>
      <c r="IN27" s="87"/>
      <c r="IO27" s="87"/>
      <c r="IP27" s="87"/>
      <c r="IQ27" s="87"/>
      <c r="IR27" s="87"/>
      <c r="IS27" s="87"/>
      <c r="IT27" s="87"/>
      <c r="IU27" s="87"/>
      <c r="IV27" s="87"/>
    </row>
    <row r="28" spans="1:256" s="89" customFormat="1" hidden="1">
      <c r="A28" s="87"/>
      <c r="B28" s="111"/>
      <c r="C28" s="111"/>
      <c r="D28" s="111"/>
      <c r="E28" s="111"/>
      <c r="F28" s="112"/>
      <c r="G28" s="112"/>
      <c r="H28" s="113"/>
      <c r="I28" s="113"/>
      <c r="J28" s="90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7"/>
      <c r="CC28" s="87"/>
      <c r="CD28" s="87"/>
      <c r="CE28" s="87"/>
      <c r="CF28" s="87"/>
      <c r="CG28" s="87"/>
      <c r="CH28" s="87"/>
      <c r="CI28" s="87"/>
      <c r="CJ28" s="87"/>
      <c r="CK28" s="87"/>
      <c r="CL28" s="87"/>
      <c r="CM28" s="87"/>
      <c r="CN28" s="87"/>
      <c r="CO28" s="87"/>
      <c r="CP28" s="87"/>
      <c r="CQ28" s="87"/>
      <c r="CR28" s="87"/>
      <c r="CS28" s="87"/>
      <c r="CT28" s="87"/>
      <c r="CU28" s="87"/>
      <c r="CV28" s="87"/>
      <c r="CW28" s="87"/>
      <c r="CX28" s="87"/>
      <c r="CY28" s="87"/>
      <c r="CZ28" s="87"/>
      <c r="DA28" s="87"/>
      <c r="DB28" s="87"/>
      <c r="DC28" s="87"/>
      <c r="DD28" s="87"/>
      <c r="DE28" s="87"/>
      <c r="DF28" s="87"/>
      <c r="DG28" s="87"/>
      <c r="DH28" s="87"/>
      <c r="DI28" s="87"/>
      <c r="DJ28" s="87"/>
      <c r="DK28" s="87"/>
      <c r="DL28" s="87"/>
      <c r="DM28" s="87"/>
      <c r="DN28" s="87"/>
      <c r="DO28" s="87"/>
      <c r="DP28" s="87"/>
      <c r="DQ28" s="87"/>
      <c r="DR28" s="87"/>
      <c r="DS28" s="87"/>
      <c r="DT28" s="87"/>
      <c r="DU28" s="87"/>
      <c r="DV28" s="87"/>
      <c r="DW28" s="87"/>
      <c r="DX28" s="87"/>
      <c r="DY28" s="87"/>
      <c r="DZ28" s="87"/>
      <c r="EA28" s="87"/>
      <c r="EB28" s="87"/>
      <c r="EC28" s="87"/>
      <c r="ED28" s="87"/>
      <c r="EE28" s="87"/>
      <c r="EF28" s="87"/>
      <c r="EG28" s="87"/>
      <c r="EH28" s="87"/>
      <c r="EI28" s="87"/>
      <c r="EJ28" s="87"/>
      <c r="EK28" s="87"/>
      <c r="EL28" s="87"/>
      <c r="EM28" s="87"/>
      <c r="EN28" s="87"/>
      <c r="EO28" s="87"/>
      <c r="EP28" s="87"/>
      <c r="EQ28" s="87"/>
      <c r="ER28" s="87"/>
      <c r="ES28" s="87"/>
      <c r="ET28" s="87"/>
      <c r="EU28" s="87"/>
      <c r="EV28" s="87"/>
      <c r="EW28" s="87"/>
      <c r="EX28" s="87"/>
      <c r="EY28" s="87"/>
      <c r="EZ28" s="87"/>
      <c r="FA28" s="87"/>
      <c r="FB28" s="87"/>
      <c r="FC28" s="87"/>
      <c r="FD28" s="87"/>
      <c r="FE28" s="87"/>
      <c r="FF28" s="87"/>
      <c r="FG28" s="87"/>
      <c r="FH28" s="87"/>
      <c r="FI28" s="87"/>
      <c r="FJ28" s="87"/>
      <c r="FK28" s="87"/>
      <c r="FL28" s="87"/>
      <c r="FM28" s="87"/>
      <c r="FN28" s="87"/>
      <c r="FO28" s="87"/>
      <c r="FP28" s="87"/>
      <c r="FQ28" s="87"/>
      <c r="FR28" s="87"/>
      <c r="FS28" s="87"/>
      <c r="FT28" s="87"/>
      <c r="FU28" s="87"/>
      <c r="FV28" s="87"/>
      <c r="FW28" s="87"/>
      <c r="FX28" s="87"/>
      <c r="FY28" s="87"/>
      <c r="FZ28" s="87"/>
      <c r="GA28" s="87"/>
      <c r="GB28" s="87"/>
      <c r="GC28" s="87"/>
      <c r="GD28" s="87"/>
      <c r="GE28" s="87"/>
      <c r="GF28" s="87"/>
      <c r="GG28" s="87"/>
      <c r="GH28" s="87"/>
      <c r="GI28" s="87"/>
      <c r="GJ28" s="87"/>
      <c r="GK28" s="87"/>
      <c r="GL28" s="87"/>
      <c r="GM28" s="87"/>
      <c r="GN28" s="87"/>
      <c r="GO28" s="87"/>
      <c r="GP28" s="87"/>
      <c r="GQ28" s="87"/>
      <c r="GR28" s="87"/>
      <c r="GS28" s="87"/>
      <c r="GT28" s="87"/>
      <c r="GU28" s="87"/>
      <c r="GV28" s="87"/>
      <c r="GW28" s="87"/>
      <c r="GX28" s="87"/>
      <c r="GY28" s="87"/>
      <c r="GZ28" s="87"/>
      <c r="HA28" s="87"/>
      <c r="HB28" s="87"/>
      <c r="HC28" s="87"/>
      <c r="HD28" s="87"/>
      <c r="HE28" s="87"/>
      <c r="HF28" s="87"/>
      <c r="HG28" s="87"/>
      <c r="HH28" s="87"/>
      <c r="HI28" s="87"/>
      <c r="HJ28" s="87"/>
      <c r="HK28" s="87"/>
      <c r="HL28" s="87"/>
      <c r="HM28" s="87"/>
      <c r="HN28" s="87"/>
      <c r="HO28" s="87"/>
      <c r="HP28" s="87"/>
      <c r="HQ28" s="87"/>
      <c r="HR28" s="87"/>
      <c r="HS28" s="87"/>
      <c r="HT28" s="87"/>
      <c r="HU28" s="87"/>
      <c r="HV28" s="87"/>
      <c r="HW28" s="87"/>
      <c r="HX28" s="87"/>
      <c r="HY28" s="87"/>
      <c r="HZ28" s="87"/>
      <c r="IA28" s="87"/>
      <c r="IB28" s="87"/>
      <c r="IC28" s="87"/>
      <c r="ID28" s="87"/>
      <c r="IE28" s="87"/>
      <c r="IF28" s="87"/>
      <c r="IG28" s="87"/>
      <c r="IH28" s="87"/>
      <c r="II28" s="87"/>
      <c r="IJ28" s="87"/>
      <c r="IK28" s="87"/>
      <c r="IL28" s="87"/>
      <c r="IM28" s="87"/>
      <c r="IN28" s="87"/>
      <c r="IO28" s="87"/>
      <c r="IP28" s="87"/>
      <c r="IQ28" s="87"/>
      <c r="IR28" s="87"/>
      <c r="IS28" s="87"/>
      <c r="IT28" s="87"/>
      <c r="IU28" s="87"/>
      <c r="IV28" s="87"/>
    </row>
    <row r="29" spans="1:256" hidden="1"/>
    <row r="30" spans="1:256">
      <c r="F30" s="114">
        <f>ROUND(E25/1.09,2)</f>
        <v>0</v>
      </c>
    </row>
    <row r="263" spans="13:13">
      <c r="M263" s="87">
        <v>1154</v>
      </c>
    </row>
  </sheetData>
  <mergeCells count="18">
    <mergeCell ref="B2:K2"/>
    <mergeCell ref="B5:D5"/>
    <mergeCell ref="E5:F5"/>
    <mergeCell ref="G5:H5"/>
    <mergeCell ref="I5:J5"/>
    <mergeCell ref="B3:K4"/>
    <mergeCell ref="B6:D6"/>
    <mergeCell ref="E6:F6"/>
    <mergeCell ref="G6:H6"/>
    <mergeCell ref="I6:J6"/>
    <mergeCell ref="C25:D25"/>
    <mergeCell ref="E26:J26"/>
    <mergeCell ref="E27:J27"/>
    <mergeCell ref="B25:B26"/>
    <mergeCell ref="K7:K10"/>
    <mergeCell ref="K11:K18"/>
    <mergeCell ref="K19:K22"/>
    <mergeCell ref="K23:K26"/>
  </mergeCells>
  <dataValidations count="1">
    <dataValidation allowBlank="1" showInputMessage="1" showErrorMessage="1" sqref="B6:D6" xr:uid="{00000000-0002-0000-0900-000000000000}"/>
  </dataValidations>
  <printOptions horizontalCentered="1" verticalCentered="1"/>
  <pageMargins left="0" right="0" top="0" bottom="0" header="0.31496062992126" footer="0.31496062992126"/>
  <pageSetup paperSize="9" scale="75" orientation="landscape" r:id="rId1"/>
  <colBreaks count="1" manualBreakCount="1">
    <brk id="11" max="1048575" man="1"/>
  </colBreaks>
  <ignoredErrors>
    <ignoredError sqref="E6:H6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5"/>
  </sheetPr>
  <dimension ref="A1:AF21"/>
  <sheetViews>
    <sheetView view="pageBreakPreview" zoomScale="60" zoomScaleNormal="100" workbookViewId="0">
      <selection activeCell="H20" sqref="H20"/>
    </sheetView>
  </sheetViews>
  <sheetFormatPr defaultColWidth="7.8984375" defaultRowHeight="31.2"/>
  <cols>
    <col min="1" max="1" width="24.19921875" style="66" customWidth="1"/>
    <col min="2" max="2" width="33.59765625" style="66" customWidth="1"/>
    <col min="3" max="3" width="21.8984375" style="66" customWidth="1"/>
    <col min="4" max="4" width="19.59765625" style="66" customWidth="1"/>
    <col min="5" max="6" width="10.3984375" style="66" customWidth="1"/>
    <col min="7" max="7" width="24.09765625" style="66" customWidth="1"/>
    <col min="8" max="8" width="24.8984375" style="66" customWidth="1"/>
    <col min="9" max="9" width="17.5" style="66" customWidth="1"/>
    <col min="10" max="10" width="22.69921875" style="66" customWidth="1"/>
    <col min="11" max="11" width="26.09765625" style="66" customWidth="1"/>
    <col min="12" max="12" width="24.19921875" style="66" customWidth="1"/>
    <col min="13" max="13" width="16.8984375" style="66" customWidth="1"/>
    <col min="14" max="14" width="19" style="67" customWidth="1"/>
    <col min="15" max="15" width="5.59765625" style="66" hidden="1" customWidth="1"/>
    <col min="16" max="16" width="5" style="66" hidden="1" customWidth="1"/>
    <col min="17" max="17" width="15.19921875" style="66" hidden="1" customWidth="1"/>
    <col min="18" max="18" width="16.09765625" style="66" hidden="1" customWidth="1"/>
    <col min="19" max="19" width="7.8984375" style="66" hidden="1" customWidth="1"/>
    <col min="20" max="20" width="7.09765625" style="66" hidden="1" customWidth="1"/>
    <col min="21" max="21" width="2.3984375" style="66" hidden="1" customWidth="1"/>
    <col min="22" max="22" width="16.8984375" style="66" hidden="1" customWidth="1"/>
    <col min="23" max="23" width="4" style="66" customWidth="1"/>
    <col min="24" max="24" width="5.69921875" style="66" customWidth="1"/>
    <col min="25" max="25" width="12.59765625" style="66" customWidth="1"/>
    <col min="26" max="26" width="12.69921875" style="66" customWidth="1"/>
    <col min="27" max="27" width="11.796875" style="66" hidden="1" customWidth="1"/>
    <col min="28" max="28" width="10" style="66" customWidth="1"/>
    <col min="29" max="30" width="7.8984375" style="66"/>
    <col min="31" max="31" width="9.296875" style="66" customWidth="1"/>
    <col min="32" max="16384" width="7.8984375" style="66"/>
  </cols>
  <sheetData>
    <row r="1" spans="1:32" s="62" customFormat="1" ht="61.05" customHeight="1">
      <c r="A1" s="446" t="s">
        <v>559</v>
      </c>
      <c r="B1" s="446"/>
      <c r="C1" s="446"/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Q1" s="76" t="s">
        <v>560</v>
      </c>
      <c r="R1" s="77" t="s">
        <v>561</v>
      </c>
      <c r="S1" s="76" t="s">
        <v>562</v>
      </c>
      <c r="V1" s="62" t="s">
        <v>563</v>
      </c>
    </row>
    <row r="2" spans="1:32" s="63" customFormat="1" ht="30" customHeight="1">
      <c r="A2" s="31" t="s">
        <v>564</v>
      </c>
      <c r="B2" s="31" t="s">
        <v>565</v>
      </c>
      <c r="C2" s="31"/>
      <c r="D2" s="32"/>
      <c r="E2" s="32"/>
      <c r="F2" s="32"/>
      <c r="G2" s="33" t="s">
        <v>566</v>
      </c>
      <c r="H2" s="34">
        <f ca="1">TODAY()</f>
        <v>45862</v>
      </c>
      <c r="I2" s="33"/>
      <c r="J2" s="33"/>
      <c r="K2" s="33"/>
      <c r="L2" s="33"/>
      <c r="M2" s="33"/>
      <c r="N2" s="33"/>
      <c r="Q2" s="76" t="s">
        <v>567</v>
      </c>
      <c r="R2" s="77" t="s">
        <v>568</v>
      </c>
      <c r="S2" s="76">
        <v>0.06</v>
      </c>
      <c r="V2" s="62" t="s">
        <v>569</v>
      </c>
    </row>
    <row r="3" spans="1:32" s="63" customFormat="1" ht="75" customHeight="1">
      <c r="A3" s="424" t="s">
        <v>570</v>
      </c>
      <c r="B3" s="424"/>
      <c r="C3" s="447" t="s">
        <v>571</v>
      </c>
      <c r="D3" s="448"/>
      <c r="E3" s="448"/>
      <c r="F3" s="449"/>
      <c r="G3" s="36" t="s">
        <v>572</v>
      </c>
      <c r="H3" s="37" t="s">
        <v>573</v>
      </c>
      <c r="I3" s="42" t="s">
        <v>574</v>
      </c>
      <c r="J3" s="43"/>
      <c r="K3" s="50" t="s">
        <v>575</v>
      </c>
      <c r="L3" s="50"/>
      <c r="M3" s="50" t="s">
        <v>576</v>
      </c>
      <c r="N3" s="35" t="str">
        <f>VLOOKUP(AB4,AE4:AF5,2,0)</f>
        <v>蔡海英</v>
      </c>
      <c r="Q3" s="76" t="s">
        <v>567</v>
      </c>
      <c r="R3" s="77" t="s">
        <v>577</v>
      </c>
      <c r="S3" s="77">
        <v>0.06</v>
      </c>
      <c r="V3" s="62" t="s">
        <v>578</v>
      </c>
      <c r="AD3" s="81" t="s">
        <v>488</v>
      </c>
      <c r="AE3" s="81" t="s">
        <v>579</v>
      </c>
      <c r="AF3" s="81" t="s">
        <v>580</v>
      </c>
    </row>
    <row r="4" spans="1:32" s="62" customFormat="1" ht="75" customHeight="1">
      <c r="A4" s="35" t="s">
        <v>581</v>
      </c>
      <c r="B4" s="38" t="s">
        <v>582</v>
      </c>
      <c r="C4" s="68"/>
      <c r="D4" s="35" t="s">
        <v>583</v>
      </c>
      <c r="E4" s="450" t="s">
        <v>545</v>
      </c>
      <c r="F4" s="451"/>
      <c r="G4" s="452"/>
      <c r="H4" s="40" t="s">
        <v>584</v>
      </c>
      <c r="I4" s="453"/>
      <c r="J4" s="454"/>
      <c r="K4" s="35" t="s">
        <v>585</v>
      </c>
      <c r="L4" s="455">
        <f>K11</f>
        <v>0</v>
      </c>
      <c r="M4" s="456"/>
      <c r="N4" s="457"/>
      <c r="Q4" s="76" t="s">
        <v>567</v>
      </c>
      <c r="R4" s="77" t="s">
        <v>586</v>
      </c>
      <c r="S4" s="77">
        <v>0.06</v>
      </c>
      <c r="V4" s="62" t="s">
        <v>587</v>
      </c>
      <c r="AA4" s="82" t="s">
        <v>588</v>
      </c>
      <c r="AB4" s="83" t="s">
        <v>589</v>
      </c>
      <c r="AD4" s="425" t="s">
        <v>590</v>
      </c>
      <c r="AE4" s="84" t="s">
        <v>591</v>
      </c>
      <c r="AF4" s="84" t="s">
        <v>592</v>
      </c>
    </row>
    <row r="5" spans="1:32" s="62" customFormat="1" ht="75" customHeight="1">
      <c r="A5" s="41" t="s">
        <v>593</v>
      </c>
      <c r="B5" s="426" t="s">
        <v>594</v>
      </c>
      <c r="C5" s="427"/>
      <c r="D5" s="427"/>
      <c r="E5" s="427"/>
      <c r="F5" s="427"/>
      <c r="G5" s="427"/>
      <c r="H5" s="41"/>
      <c r="I5" s="427"/>
      <c r="J5" s="438"/>
      <c r="K5" s="41" t="s">
        <v>595</v>
      </c>
      <c r="L5" s="439" t="s">
        <v>596</v>
      </c>
      <c r="M5" s="440"/>
      <c r="N5" s="441"/>
      <c r="Q5" s="76" t="s">
        <v>567</v>
      </c>
      <c r="R5" s="77" t="s">
        <v>597</v>
      </c>
      <c r="S5" s="78">
        <v>0.06</v>
      </c>
      <c r="V5" s="62" t="s">
        <v>565</v>
      </c>
      <c r="AD5" s="425"/>
      <c r="AE5" s="84" t="s">
        <v>589</v>
      </c>
      <c r="AF5" s="84" t="s">
        <v>598</v>
      </c>
    </row>
    <row r="6" spans="1:32" s="62" customFormat="1" ht="75" customHeight="1">
      <c r="A6" s="423" t="s">
        <v>599</v>
      </c>
      <c r="B6" s="42" t="s">
        <v>600</v>
      </c>
      <c r="C6" s="442" t="s">
        <v>601</v>
      </c>
      <c r="D6" s="443"/>
      <c r="E6" s="443"/>
      <c r="F6" s="443"/>
      <c r="G6" s="443"/>
      <c r="H6" s="443"/>
      <c r="I6" s="443"/>
      <c r="J6" s="443"/>
      <c r="K6" s="443"/>
      <c r="L6" s="443"/>
      <c r="M6" s="443"/>
      <c r="N6" s="444"/>
      <c r="Q6" s="76" t="s">
        <v>567</v>
      </c>
      <c r="R6" s="77" t="s">
        <v>602</v>
      </c>
      <c r="S6" s="77">
        <v>0.06</v>
      </c>
      <c r="V6" s="62" t="s">
        <v>603</v>
      </c>
    </row>
    <row r="7" spans="1:32" s="64" customFormat="1" ht="75" customHeight="1">
      <c r="A7" s="423"/>
      <c r="B7" s="42" t="s">
        <v>604</v>
      </c>
      <c r="C7" s="445" t="s">
        <v>605</v>
      </c>
      <c r="D7" s="445"/>
      <c r="E7" s="445"/>
      <c r="F7" s="445"/>
      <c r="G7" s="445"/>
      <c r="H7" s="445"/>
      <c r="I7" s="445"/>
      <c r="J7" s="445"/>
      <c r="K7" s="445"/>
      <c r="L7" s="445"/>
      <c r="M7" s="445"/>
      <c r="N7" s="445"/>
      <c r="Q7" s="76" t="s">
        <v>567</v>
      </c>
      <c r="R7" s="77" t="s">
        <v>606</v>
      </c>
      <c r="S7" s="77">
        <v>0.06</v>
      </c>
      <c r="V7" s="62" t="s">
        <v>607</v>
      </c>
    </row>
    <row r="8" spans="1:32" s="62" customFormat="1" ht="75" customHeight="1">
      <c r="A8" s="423"/>
      <c r="B8" s="42" t="s">
        <v>608</v>
      </c>
      <c r="C8" s="432" t="s">
        <v>609</v>
      </c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Q8" s="77" t="s">
        <v>610</v>
      </c>
      <c r="R8" s="77" t="s">
        <v>611</v>
      </c>
      <c r="S8" s="77">
        <v>0.06</v>
      </c>
      <c r="X8" s="79">
        <f ca="1">H2</f>
        <v>45862</v>
      </c>
      <c r="Y8" s="85">
        <f ca="1">IF(X8="","",MONTH(X8))</f>
        <v>7</v>
      </c>
      <c r="Z8" s="86">
        <f>J3</f>
        <v>0</v>
      </c>
    </row>
    <row r="9" spans="1:32" s="63" customFormat="1" ht="75" customHeight="1">
      <c r="A9" s="423"/>
      <c r="B9" s="42" t="s">
        <v>612</v>
      </c>
      <c r="C9" s="432" t="s">
        <v>613</v>
      </c>
      <c r="D9" s="432"/>
      <c r="E9" s="432"/>
      <c r="F9" s="432"/>
      <c r="G9" s="432"/>
      <c r="H9" s="432"/>
      <c r="I9" s="432"/>
      <c r="J9" s="432"/>
      <c r="K9" s="432"/>
      <c r="L9" s="432"/>
      <c r="M9" s="432"/>
      <c r="N9" s="432"/>
      <c r="Q9" s="77" t="s">
        <v>610</v>
      </c>
      <c r="R9" s="77" t="s">
        <v>614</v>
      </c>
      <c r="S9" s="77">
        <v>0.06</v>
      </c>
    </row>
    <row r="10" spans="1:32" s="65" customFormat="1" ht="75" customHeight="1">
      <c r="A10" s="69" t="s">
        <v>560</v>
      </c>
      <c r="B10" s="433" t="s">
        <v>615</v>
      </c>
      <c r="C10" s="434"/>
      <c r="D10" s="69" t="s">
        <v>616</v>
      </c>
      <c r="E10" s="69" t="s">
        <v>617</v>
      </c>
      <c r="F10" s="69" t="s">
        <v>618</v>
      </c>
      <c r="G10" s="69" t="s">
        <v>619</v>
      </c>
      <c r="H10" s="69" t="s">
        <v>620</v>
      </c>
      <c r="I10" s="69" t="s">
        <v>562</v>
      </c>
      <c r="J10" s="69" t="s">
        <v>557</v>
      </c>
      <c r="K10" s="69" t="s">
        <v>621</v>
      </c>
      <c r="L10" s="435" t="s">
        <v>622</v>
      </c>
      <c r="M10" s="436"/>
      <c r="N10" s="437"/>
      <c r="Q10" s="80" t="s">
        <v>610</v>
      </c>
      <c r="R10" s="80" t="s">
        <v>623</v>
      </c>
      <c r="S10" s="80">
        <v>0.06</v>
      </c>
    </row>
    <row r="11" spans="1:32" s="65" customFormat="1" ht="75" customHeight="1">
      <c r="A11" s="69" t="s">
        <v>624</v>
      </c>
      <c r="B11" s="428" t="s">
        <v>625</v>
      </c>
      <c r="C11" s="429"/>
      <c r="D11" s="69"/>
      <c r="E11" s="69"/>
      <c r="F11" s="69"/>
      <c r="G11" s="70"/>
      <c r="H11" s="71">
        <f>ROUND(K11/1.09,2)</f>
        <v>0</v>
      </c>
      <c r="I11" s="73">
        <v>0.09</v>
      </c>
      <c r="J11" s="71">
        <f>K11-H11</f>
        <v>0</v>
      </c>
      <c r="K11" s="74">
        <f>'曹妃甸 秦皇岛  结算单 '!E25</f>
        <v>0</v>
      </c>
      <c r="L11" s="75" t="str">
        <f>B4</f>
        <v>渤海海域</v>
      </c>
      <c r="M11" s="430">
        <f>C4</f>
        <v>0</v>
      </c>
      <c r="N11" s="431"/>
      <c r="Q11" s="80" t="s">
        <v>626</v>
      </c>
      <c r="R11" s="80" t="s">
        <v>627</v>
      </c>
      <c r="S11" s="80">
        <v>0.06</v>
      </c>
    </row>
    <row r="12" spans="1:32" s="65" customFormat="1" ht="75" customHeight="1">
      <c r="A12" s="69"/>
      <c r="B12" s="428"/>
      <c r="C12" s="429"/>
      <c r="D12" s="69"/>
      <c r="E12" s="69"/>
      <c r="F12" s="69"/>
      <c r="G12" s="70"/>
      <c r="H12" s="71">
        <f>F12*G12</f>
        <v>0</v>
      </c>
      <c r="I12" s="73"/>
      <c r="J12" s="71">
        <f>H12*I12</f>
        <v>0</v>
      </c>
      <c r="K12" s="74">
        <f>H12+J12</f>
        <v>0</v>
      </c>
      <c r="L12" s="75"/>
      <c r="M12" s="430"/>
      <c r="N12" s="431"/>
      <c r="Q12" s="80" t="s">
        <v>628</v>
      </c>
      <c r="R12" s="80" t="s">
        <v>629</v>
      </c>
      <c r="S12" s="80">
        <v>0.06</v>
      </c>
    </row>
    <row r="13" spans="1:32" s="65" customFormat="1" ht="75" customHeight="1">
      <c r="A13" s="69" t="s">
        <v>556</v>
      </c>
      <c r="B13" s="428"/>
      <c r="C13" s="429"/>
      <c r="D13" s="69"/>
      <c r="E13" s="69"/>
      <c r="F13" s="69"/>
      <c r="G13" s="70"/>
      <c r="H13" s="71">
        <f>SUM(H11:H12)</f>
        <v>0</v>
      </c>
      <c r="I13" s="73"/>
      <c r="J13" s="71">
        <f>SUM(J11:J12)</f>
        <v>0</v>
      </c>
      <c r="K13" s="74">
        <f>SUM(K11:K12)</f>
        <v>0</v>
      </c>
      <c r="L13" s="75"/>
      <c r="M13" s="430"/>
      <c r="N13" s="431"/>
      <c r="Q13" s="80" t="s">
        <v>630</v>
      </c>
      <c r="R13" s="80" t="s">
        <v>631</v>
      </c>
      <c r="S13" s="80">
        <v>0.06</v>
      </c>
    </row>
    <row r="14" spans="1:32" s="63" customFormat="1" ht="75" customHeight="1">
      <c r="A14" s="424" t="s">
        <v>632</v>
      </c>
      <c r="B14" s="424" t="s">
        <v>633</v>
      </c>
      <c r="C14" s="424"/>
      <c r="D14" s="426"/>
      <c r="E14" s="427"/>
      <c r="F14" s="427"/>
      <c r="G14" s="427"/>
      <c r="H14" s="424" t="s">
        <v>634</v>
      </c>
      <c r="I14" s="424"/>
      <c r="J14" s="423">
        <v>59551678</v>
      </c>
      <c r="K14" s="423"/>
      <c r="L14" s="423"/>
      <c r="M14" s="423"/>
      <c r="N14" s="423"/>
      <c r="Q14" s="78" t="s">
        <v>624</v>
      </c>
      <c r="R14" s="78" t="s">
        <v>625</v>
      </c>
      <c r="S14" s="78">
        <v>0.09</v>
      </c>
    </row>
    <row r="15" spans="1:32" s="63" customFormat="1" ht="75" customHeight="1">
      <c r="A15" s="424"/>
      <c r="B15" s="424" t="s">
        <v>635</v>
      </c>
      <c r="C15" s="424"/>
      <c r="D15" s="426"/>
      <c r="E15" s="427"/>
      <c r="F15" s="427"/>
      <c r="G15" s="427"/>
      <c r="H15" s="424" t="s">
        <v>636</v>
      </c>
      <c r="I15" s="424"/>
      <c r="J15" s="423"/>
      <c r="K15" s="423"/>
      <c r="L15" s="423"/>
      <c r="M15" s="423"/>
      <c r="N15" s="423"/>
      <c r="Q15" s="78" t="s">
        <v>624</v>
      </c>
      <c r="R15" s="78" t="s">
        <v>637</v>
      </c>
      <c r="S15" s="78">
        <v>0.09</v>
      </c>
    </row>
    <row r="16" spans="1:32" s="63" customFormat="1" ht="75" customHeight="1">
      <c r="A16" s="423"/>
      <c r="B16" s="424" t="s">
        <v>638</v>
      </c>
      <c r="C16" s="424"/>
      <c r="D16" s="426"/>
      <c r="E16" s="427"/>
      <c r="F16" s="427"/>
      <c r="G16" s="427"/>
      <c r="H16" s="424" t="s">
        <v>639</v>
      </c>
      <c r="I16" s="424"/>
      <c r="J16" s="423"/>
      <c r="K16" s="423"/>
      <c r="L16" s="423"/>
      <c r="M16" s="423"/>
      <c r="N16" s="423"/>
      <c r="Q16" s="78" t="s">
        <v>624</v>
      </c>
      <c r="R16" s="78" t="s">
        <v>640</v>
      </c>
      <c r="S16" s="78">
        <v>0.09</v>
      </c>
    </row>
    <row r="17" spans="1:19" s="63" customFormat="1" ht="30" customHeight="1">
      <c r="A17" s="421" t="s">
        <v>641</v>
      </c>
      <c r="B17" s="422"/>
      <c r="C17" s="421"/>
      <c r="D17" s="421"/>
      <c r="E17" s="421"/>
      <c r="F17" s="421"/>
      <c r="G17" s="421"/>
      <c r="H17" s="421"/>
      <c r="I17" s="421"/>
      <c r="J17" s="421"/>
      <c r="K17" s="421"/>
      <c r="L17" s="421"/>
      <c r="M17" s="421"/>
      <c r="N17" s="421"/>
      <c r="Q17" s="78" t="s">
        <v>642</v>
      </c>
      <c r="R17" s="78" t="s">
        <v>643</v>
      </c>
      <c r="S17" s="78">
        <v>0.13</v>
      </c>
    </row>
    <row r="18" spans="1:19" ht="22.95" customHeight="1">
      <c r="A18" s="72"/>
      <c r="Q18" s="78" t="s">
        <v>642</v>
      </c>
      <c r="R18" s="78" t="s">
        <v>644</v>
      </c>
      <c r="S18" s="78">
        <v>0.13</v>
      </c>
    </row>
    <row r="19" spans="1:19">
      <c r="Q19" s="78" t="s">
        <v>642</v>
      </c>
      <c r="R19" s="78" t="s">
        <v>645</v>
      </c>
      <c r="S19" s="78">
        <v>0.13</v>
      </c>
    </row>
    <row r="20" spans="1:19">
      <c r="Q20" s="78" t="s">
        <v>642</v>
      </c>
      <c r="R20" s="78" t="s">
        <v>646</v>
      </c>
      <c r="S20" s="78">
        <v>0.13</v>
      </c>
    </row>
    <row r="21" spans="1:19">
      <c r="Q21" s="78" t="s">
        <v>647</v>
      </c>
      <c r="R21" s="78" t="s">
        <v>648</v>
      </c>
      <c r="S21" s="78">
        <v>0.13</v>
      </c>
    </row>
  </sheetData>
  <mergeCells count="37">
    <mergeCell ref="A1:N1"/>
    <mergeCell ref="A3:B3"/>
    <mergeCell ref="C3:F3"/>
    <mergeCell ref="E4:G4"/>
    <mergeCell ref="I4:J4"/>
    <mergeCell ref="L4:N4"/>
    <mergeCell ref="B5:G5"/>
    <mergeCell ref="I5:J5"/>
    <mergeCell ref="L5:N5"/>
    <mergeCell ref="C6:N6"/>
    <mergeCell ref="C7:N7"/>
    <mergeCell ref="B14:C14"/>
    <mergeCell ref="D14:G14"/>
    <mergeCell ref="H14:I14"/>
    <mergeCell ref="J14:N14"/>
    <mergeCell ref="C8:N8"/>
    <mergeCell ref="C9:N9"/>
    <mergeCell ref="B10:C10"/>
    <mergeCell ref="L10:N10"/>
    <mergeCell ref="B11:C11"/>
    <mergeCell ref="M11:N11"/>
    <mergeCell ref="A17:N17"/>
    <mergeCell ref="A6:A9"/>
    <mergeCell ref="A14:A16"/>
    <mergeCell ref="AD4:AD5"/>
    <mergeCell ref="B15:C15"/>
    <mergeCell ref="D15:G15"/>
    <mergeCell ref="H15:I15"/>
    <mergeCell ref="J15:N15"/>
    <mergeCell ref="B16:C16"/>
    <mergeCell ref="D16:G16"/>
    <mergeCell ref="H16:I16"/>
    <mergeCell ref="J16:N16"/>
    <mergeCell ref="B12:C12"/>
    <mergeCell ref="M12:N12"/>
    <mergeCell ref="B13:C13"/>
    <mergeCell ref="M13:N13"/>
  </mergeCells>
  <dataValidations count="5">
    <dataValidation type="list" allowBlank="1" showInputMessage="1" showErrorMessage="1" sqref="B2" xr:uid="{00000000-0002-0000-0A00-000000000000}">
      <formula1>$V$1:$V$7</formula1>
    </dataValidation>
    <dataValidation type="list" allowBlank="1" showInputMessage="1" showErrorMessage="1" sqref="AB4" xr:uid="{00000000-0002-0000-0A00-000001000000}">
      <formula1>$AE$4:$AE$5</formula1>
    </dataValidation>
    <dataValidation type="list" allowBlank="1" showInputMessage="1" showErrorMessage="1" sqref="A11" xr:uid="{00000000-0002-0000-0A00-000002000000}">
      <formula1>$Q$2:$Q$21</formula1>
    </dataValidation>
    <dataValidation type="list" allowBlank="1" showInputMessage="1" showErrorMessage="1" sqref="B11:C11" xr:uid="{00000000-0002-0000-0A00-000003000000}">
      <formula1>$R$2:$R$21</formula1>
    </dataValidation>
    <dataValidation type="list" allowBlank="1" showInputMessage="1" showErrorMessage="1" sqref="A12" xr:uid="{00000000-0002-0000-0A00-000004000000}">
      <formula1>#REF!</formula1>
    </dataValidation>
  </dataValidations>
  <printOptions horizontalCentered="1" verticalCentered="1"/>
  <pageMargins left="0.75138888888888899" right="0" top="0" bottom="0" header="0" footer="0"/>
  <pageSetup paperSize="9" scale="36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5"/>
  </sheetPr>
  <dimension ref="A1:Y21"/>
  <sheetViews>
    <sheetView view="pageBreakPreview" zoomScale="55" zoomScaleNormal="100" workbookViewId="0">
      <selection activeCell="K12" sqref="K12"/>
    </sheetView>
  </sheetViews>
  <sheetFormatPr defaultColWidth="7.8984375" defaultRowHeight="23.4"/>
  <cols>
    <col min="1" max="1" width="22" style="29" customWidth="1"/>
    <col min="2" max="2" width="33.59765625" style="29" customWidth="1"/>
    <col min="3" max="3" width="29" style="29" customWidth="1"/>
    <col min="4" max="4" width="19.59765625" style="29" customWidth="1"/>
    <col min="5" max="6" width="10.3984375" style="29" customWidth="1"/>
    <col min="7" max="7" width="24.09765625" style="29" customWidth="1"/>
    <col min="8" max="8" width="32" style="29" customWidth="1"/>
    <col min="9" max="9" width="17.5" style="29" customWidth="1"/>
    <col min="10" max="10" width="27.19921875" style="29" customWidth="1"/>
    <col min="11" max="11" width="30.19921875" style="29" customWidth="1"/>
    <col min="12" max="12" width="21.296875" style="29" customWidth="1"/>
    <col min="13" max="13" width="13.69921875" style="29" customWidth="1"/>
    <col min="14" max="14" width="19.09765625" style="30" customWidth="1"/>
    <col min="15" max="15" width="5.59765625" style="29" customWidth="1"/>
    <col min="16" max="16" width="5" style="29" customWidth="1"/>
    <col min="17" max="17" width="15.19921875" style="29" hidden="1" customWidth="1"/>
    <col min="18" max="18" width="16.09765625" style="29" hidden="1" customWidth="1"/>
    <col min="19" max="19" width="7.8984375" style="29" hidden="1" customWidth="1"/>
    <col min="20" max="20" width="7.09765625" style="29" hidden="1" customWidth="1"/>
    <col min="21" max="21" width="2.3984375" style="29" hidden="1" customWidth="1"/>
    <col min="22" max="22" width="16.8984375" style="29" hidden="1" customWidth="1"/>
    <col min="23" max="23" width="7.8984375" style="29" customWidth="1"/>
    <col min="24" max="24" width="13" style="29" customWidth="1"/>
    <col min="25" max="25" width="10.296875" style="29" customWidth="1"/>
    <col min="26" max="16384" width="7.8984375" style="29"/>
  </cols>
  <sheetData>
    <row r="1" spans="1:25" s="26" customFormat="1" ht="48" customHeight="1">
      <c r="A1" s="477" t="s">
        <v>559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Q1" s="56" t="s">
        <v>560</v>
      </c>
      <c r="R1" s="57" t="s">
        <v>561</v>
      </c>
      <c r="S1" s="56" t="s">
        <v>562</v>
      </c>
      <c r="V1" s="26" t="s">
        <v>563</v>
      </c>
    </row>
    <row r="2" spans="1:25" s="27" customFormat="1" ht="75" customHeight="1">
      <c r="A2" s="31" t="s">
        <v>564</v>
      </c>
      <c r="B2" s="31" t="s">
        <v>565</v>
      </c>
      <c r="C2" s="31"/>
      <c r="D2" s="32"/>
      <c r="E2" s="32"/>
      <c r="F2" s="32"/>
      <c r="G2" s="33" t="s">
        <v>566</v>
      </c>
      <c r="H2" s="34">
        <f ca="1">TODAY()</f>
        <v>45862</v>
      </c>
      <c r="I2" s="33"/>
      <c r="J2" s="33"/>
      <c r="K2" s="33"/>
      <c r="L2" s="33"/>
      <c r="M2" s="33"/>
      <c r="N2" s="33"/>
      <c r="Q2" s="56" t="s">
        <v>567</v>
      </c>
      <c r="R2" s="57" t="s">
        <v>568</v>
      </c>
      <c r="S2" s="56">
        <v>0.06</v>
      </c>
      <c r="V2" s="26" t="s">
        <v>569</v>
      </c>
    </row>
    <row r="3" spans="1:25" s="27" customFormat="1" ht="75" customHeight="1">
      <c r="A3" s="424" t="s">
        <v>570</v>
      </c>
      <c r="B3" s="424"/>
      <c r="C3" s="447" t="s">
        <v>571</v>
      </c>
      <c r="D3" s="448"/>
      <c r="E3" s="448"/>
      <c r="F3" s="449"/>
      <c r="G3" s="36" t="s">
        <v>572</v>
      </c>
      <c r="H3" s="37" t="s">
        <v>573</v>
      </c>
      <c r="I3" s="42" t="s">
        <v>574</v>
      </c>
      <c r="J3" s="43"/>
      <c r="K3" s="50" t="s">
        <v>575</v>
      </c>
      <c r="L3" s="50"/>
      <c r="M3" s="50" t="s">
        <v>576</v>
      </c>
      <c r="N3" s="51" t="s">
        <v>649</v>
      </c>
      <c r="Q3" s="56" t="s">
        <v>567</v>
      </c>
      <c r="R3" s="57" t="s">
        <v>577</v>
      </c>
      <c r="S3" s="57">
        <v>0.06</v>
      </c>
      <c r="V3" s="26" t="s">
        <v>578</v>
      </c>
    </row>
    <row r="4" spans="1:25" s="26" customFormat="1" ht="75" customHeight="1">
      <c r="A4" s="35" t="s">
        <v>581</v>
      </c>
      <c r="B4" s="38" t="s">
        <v>582</v>
      </c>
      <c r="C4" s="39"/>
      <c r="D4" s="35" t="s">
        <v>583</v>
      </c>
      <c r="E4" s="450" t="s">
        <v>545</v>
      </c>
      <c r="F4" s="451"/>
      <c r="G4" s="452"/>
      <c r="H4" s="40" t="s">
        <v>584</v>
      </c>
      <c r="I4" s="453"/>
      <c r="J4" s="454"/>
      <c r="K4" s="35" t="s">
        <v>585</v>
      </c>
      <c r="L4" s="455">
        <f>K11</f>
        <v>0</v>
      </c>
      <c r="M4" s="456"/>
      <c r="N4" s="457"/>
      <c r="Q4" s="56" t="s">
        <v>567</v>
      </c>
      <c r="R4" s="57" t="s">
        <v>586</v>
      </c>
      <c r="S4" s="57">
        <v>0.06</v>
      </c>
      <c r="V4" s="26" t="s">
        <v>587</v>
      </c>
    </row>
    <row r="5" spans="1:25" s="26" customFormat="1" ht="75" customHeight="1">
      <c r="A5" s="41" t="s">
        <v>593</v>
      </c>
      <c r="B5" s="426" t="s">
        <v>594</v>
      </c>
      <c r="C5" s="427"/>
      <c r="D5" s="427"/>
      <c r="E5" s="427"/>
      <c r="F5" s="427"/>
      <c r="G5" s="427"/>
      <c r="H5" s="41"/>
      <c r="I5" s="427"/>
      <c r="J5" s="438"/>
      <c r="K5" s="41" t="s">
        <v>595</v>
      </c>
      <c r="L5" s="439" t="s">
        <v>596</v>
      </c>
      <c r="M5" s="440"/>
      <c r="N5" s="441"/>
      <c r="Q5" s="56" t="s">
        <v>567</v>
      </c>
      <c r="R5" s="57" t="s">
        <v>597</v>
      </c>
      <c r="S5" s="58">
        <v>0.06</v>
      </c>
      <c r="V5" s="26" t="s">
        <v>565</v>
      </c>
    </row>
    <row r="6" spans="1:25" s="26" customFormat="1" ht="75" customHeight="1">
      <c r="A6" s="423" t="s">
        <v>599</v>
      </c>
      <c r="B6" s="42" t="s">
        <v>600</v>
      </c>
      <c r="C6" s="442" t="s">
        <v>650</v>
      </c>
      <c r="D6" s="443"/>
      <c r="E6" s="443"/>
      <c r="F6" s="443"/>
      <c r="G6" s="443"/>
      <c r="H6" s="443"/>
      <c r="I6" s="443"/>
      <c r="J6" s="443"/>
      <c r="K6" s="443"/>
      <c r="L6" s="443"/>
      <c r="M6" s="443"/>
      <c r="N6" s="444"/>
      <c r="Q6" s="56" t="s">
        <v>567</v>
      </c>
      <c r="R6" s="57" t="s">
        <v>602</v>
      </c>
      <c r="S6" s="57">
        <v>0.06</v>
      </c>
      <c r="V6" s="26" t="s">
        <v>603</v>
      </c>
    </row>
    <row r="7" spans="1:25" s="28" customFormat="1" ht="75" customHeight="1">
      <c r="A7" s="423"/>
      <c r="B7" s="42" t="s">
        <v>604</v>
      </c>
      <c r="C7" s="445" t="s">
        <v>651</v>
      </c>
      <c r="D7" s="445"/>
      <c r="E7" s="445"/>
      <c r="F7" s="445"/>
      <c r="G7" s="445"/>
      <c r="H7" s="445"/>
      <c r="I7" s="445"/>
      <c r="J7" s="445"/>
      <c r="K7" s="445"/>
      <c r="L7" s="445"/>
      <c r="M7" s="445"/>
      <c r="N7" s="445"/>
      <c r="Q7" s="56" t="s">
        <v>567</v>
      </c>
      <c r="R7" s="57" t="s">
        <v>606</v>
      </c>
      <c r="S7" s="57">
        <v>0.06</v>
      </c>
      <c r="V7" s="26" t="s">
        <v>607</v>
      </c>
    </row>
    <row r="8" spans="1:25" s="26" customFormat="1" ht="75" customHeight="1">
      <c r="A8" s="423"/>
      <c r="B8" s="42" t="s">
        <v>608</v>
      </c>
      <c r="C8" s="432" t="s">
        <v>652</v>
      </c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Q8" s="57" t="s">
        <v>610</v>
      </c>
      <c r="R8" s="57" t="s">
        <v>611</v>
      </c>
      <c r="S8" s="57">
        <v>0.06</v>
      </c>
      <c r="W8" s="59">
        <v>45110</v>
      </c>
      <c r="X8" s="60">
        <f>MONTH(W8)</f>
        <v>7</v>
      </c>
      <c r="Y8" s="61">
        <f>J3</f>
        <v>0</v>
      </c>
    </row>
    <row r="9" spans="1:25" s="27" customFormat="1" ht="75" customHeight="1">
      <c r="A9" s="423"/>
      <c r="B9" s="42" t="s">
        <v>612</v>
      </c>
      <c r="C9" s="432" t="s">
        <v>653</v>
      </c>
      <c r="D9" s="432"/>
      <c r="E9" s="432"/>
      <c r="F9" s="432"/>
      <c r="G9" s="432"/>
      <c r="H9" s="432"/>
      <c r="I9" s="432"/>
      <c r="J9" s="432"/>
      <c r="K9" s="432"/>
      <c r="L9" s="432"/>
      <c r="M9" s="432"/>
      <c r="N9" s="432"/>
      <c r="Q9" s="57" t="s">
        <v>610</v>
      </c>
      <c r="R9" s="57" t="s">
        <v>614</v>
      </c>
      <c r="S9" s="57">
        <v>0.06</v>
      </c>
    </row>
    <row r="10" spans="1:25" s="27" customFormat="1" ht="75" customHeight="1">
      <c r="A10" s="41" t="s">
        <v>560</v>
      </c>
      <c r="B10" s="426" t="s">
        <v>615</v>
      </c>
      <c r="C10" s="438"/>
      <c r="D10" s="41" t="s">
        <v>616</v>
      </c>
      <c r="E10" s="41" t="s">
        <v>617</v>
      </c>
      <c r="F10" s="41" t="s">
        <v>618</v>
      </c>
      <c r="G10" s="41" t="s">
        <v>619</v>
      </c>
      <c r="H10" s="41" t="s">
        <v>620</v>
      </c>
      <c r="I10" s="41" t="s">
        <v>562</v>
      </c>
      <c r="J10" s="41" t="s">
        <v>557</v>
      </c>
      <c r="K10" s="41" t="s">
        <v>621</v>
      </c>
      <c r="L10" s="470" t="s">
        <v>622</v>
      </c>
      <c r="M10" s="471"/>
      <c r="N10" s="472"/>
      <c r="Q10" s="57" t="s">
        <v>610</v>
      </c>
      <c r="R10" s="57" t="s">
        <v>623</v>
      </c>
      <c r="S10" s="57">
        <v>0.06</v>
      </c>
    </row>
    <row r="11" spans="1:25" s="27" customFormat="1" ht="75" customHeight="1">
      <c r="A11" s="42" t="s">
        <v>624</v>
      </c>
      <c r="B11" s="473" t="s">
        <v>625</v>
      </c>
      <c r="C11" s="474"/>
      <c r="D11" s="41"/>
      <c r="E11" s="41"/>
      <c r="F11" s="41"/>
      <c r="G11" s="44"/>
      <c r="H11" s="45">
        <f>ROUND(K11/1.09,2)</f>
        <v>0</v>
      </c>
      <c r="I11" s="52">
        <v>0.09</v>
      </c>
      <c r="J11" s="45">
        <f>K11-H11</f>
        <v>0</v>
      </c>
      <c r="K11" s="53">
        <f>'曹妃甸 秦皇岛  结算单 '!E25</f>
        <v>0</v>
      </c>
      <c r="L11" s="54" t="str">
        <f>B4</f>
        <v>渤海海域</v>
      </c>
      <c r="M11" s="475">
        <f>C4</f>
        <v>0</v>
      </c>
      <c r="N11" s="476"/>
      <c r="Q11" s="57" t="s">
        <v>626</v>
      </c>
      <c r="R11" s="57" t="s">
        <v>627</v>
      </c>
      <c r="S11" s="57">
        <v>0.06</v>
      </c>
    </row>
    <row r="12" spans="1:25" s="27" customFormat="1" ht="75" customHeight="1">
      <c r="A12" s="42"/>
      <c r="B12" s="463"/>
      <c r="C12" s="464"/>
      <c r="D12" s="46"/>
      <c r="E12" s="46"/>
      <c r="F12" s="46"/>
      <c r="G12" s="47"/>
      <c r="H12" s="48">
        <f>F12*G12</f>
        <v>0</v>
      </c>
      <c r="I12" s="55"/>
      <c r="J12" s="48">
        <f>H12*I12</f>
        <v>0</v>
      </c>
      <c r="K12" s="48">
        <f>H12+J12</f>
        <v>0</v>
      </c>
      <c r="L12" s="447"/>
      <c r="M12" s="448"/>
      <c r="N12" s="449"/>
      <c r="Q12" s="58" t="s">
        <v>628</v>
      </c>
      <c r="R12" s="57" t="s">
        <v>629</v>
      </c>
      <c r="S12" s="57">
        <v>0.06</v>
      </c>
      <c r="X12" s="27" t="s">
        <v>654</v>
      </c>
    </row>
    <row r="13" spans="1:25" s="27" customFormat="1" ht="75" customHeight="1">
      <c r="A13" s="41" t="s">
        <v>556</v>
      </c>
      <c r="B13" s="465"/>
      <c r="C13" s="466"/>
      <c r="D13" s="41"/>
      <c r="E13" s="41"/>
      <c r="F13" s="41"/>
      <c r="G13" s="45"/>
      <c r="H13" s="45">
        <f>SUM(H11:H12)</f>
        <v>0</v>
      </c>
      <c r="I13" s="45"/>
      <c r="J13" s="45">
        <f>SUM(J11:J12)</f>
        <v>0</v>
      </c>
      <c r="K13" s="45">
        <f>SUM(K11:K12)</f>
        <v>0</v>
      </c>
      <c r="L13" s="447"/>
      <c r="M13" s="448"/>
      <c r="N13" s="449"/>
      <c r="Q13" s="58" t="s">
        <v>630</v>
      </c>
      <c r="R13" s="58" t="s">
        <v>631</v>
      </c>
      <c r="S13" s="58">
        <v>0.06</v>
      </c>
    </row>
    <row r="14" spans="1:25" s="27" customFormat="1" ht="75" customHeight="1">
      <c r="A14" s="424" t="s">
        <v>632</v>
      </c>
      <c r="B14" s="459" t="s">
        <v>633</v>
      </c>
      <c r="C14" s="459"/>
      <c r="D14" s="426"/>
      <c r="E14" s="427"/>
      <c r="F14" s="438"/>
      <c r="G14" s="460" t="s">
        <v>655</v>
      </c>
      <c r="H14" s="461"/>
      <c r="I14" s="467">
        <v>59551678</v>
      </c>
      <c r="J14" s="468"/>
      <c r="K14" s="468"/>
      <c r="L14" s="468"/>
      <c r="M14" s="468"/>
      <c r="N14" s="469"/>
      <c r="Q14" s="58" t="s">
        <v>624</v>
      </c>
      <c r="R14" s="58" t="s">
        <v>625</v>
      </c>
      <c r="S14" s="58">
        <v>0.09</v>
      </c>
    </row>
    <row r="15" spans="1:25" s="27" customFormat="1" ht="75" customHeight="1">
      <c r="A15" s="424"/>
      <c r="B15" s="459" t="s">
        <v>635</v>
      </c>
      <c r="C15" s="459"/>
      <c r="D15" s="423"/>
      <c r="E15" s="423"/>
      <c r="F15" s="423"/>
      <c r="G15" s="460" t="s">
        <v>636</v>
      </c>
      <c r="H15" s="461"/>
      <c r="I15" s="426"/>
      <c r="J15" s="427"/>
      <c r="K15" s="427"/>
      <c r="L15" s="427"/>
      <c r="M15" s="427"/>
      <c r="N15" s="438"/>
      <c r="Q15" s="58" t="s">
        <v>624</v>
      </c>
      <c r="R15" s="58" t="s">
        <v>637</v>
      </c>
      <c r="S15" s="58">
        <v>0.09</v>
      </c>
    </row>
    <row r="16" spans="1:25" s="27" customFormat="1" ht="75" customHeight="1">
      <c r="A16" s="423"/>
      <c r="B16" s="459" t="s">
        <v>638</v>
      </c>
      <c r="C16" s="459"/>
      <c r="D16" s="423"/>
      <c r="E16" s="423"/>
      <c r="F16" s="423"/>
      <c r="G16" s="460" t="s">
        <v>639</v>
      </c>
      <c r="H16" s="462"/>
      <c r="I16" s="426"/>
      <c r="J16" s="427"/>
      <c r="K16" s="427"/>
      <c r="L16" s="427"/>
      <c r="M16" s="427"/>
      <c r="N16" s="438"/>
      <c r="Q16" s="58" t="s">
        <v>624</v>
      </c>
      <c r="R16" s="58" t="s">
        <v>640</v>
      </c>
      <c r="S16" s="58">
        <v>0.09</v>
      </c>
    </row>
    <row r="17" spans="1:19" s="27" customFormat="1" ht="48" customHeight="1">
      <c r="A17" s="458" t="s">
        <v>641</v>
      </c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Q17" s="58" t="s">
        <v>642</v>
      </c>
      <c r="R17" s="58" t="s">
        <v>643</v>
      </c>
      <c r="S17" s="58">
        <v>0.13</v>
      </c>
    </row>
    <row r="18" spans="1:19" ht="22.95" customHeight="1">
      <c r="A18" s="49"/>
      <c r="Q18" s="58" t="s">
        <v>642</v>
      </c>
      <c r="R18" s="58" t="s">
        <v>644</v>
      </c>
      <c r="S18" s="58">
        <v>0.13</v>
      </c>
    </row>
    <row r="19" spans="1:19">
      <c r="Q19" s="58" t="s">
        <v>642</v>
      </c>
      <c r="R19" s="58" t="s">
        <v>645</v>
      </c>
      <c r="S19" s="58">
        <v>0.13</v>
      </c>
    </row>
    <row r="20" spans="1:19">
      <c r="Q20" s="58" t="s">
        <v>642</v>
      </c>
      <c r="R20" s="58" t="s">
        <v>646</v>
      </c>
      <c r="S20" s="58">
        <v>0.13</v>
      </c>
    </row>
    <row r="21" spans="1:19">
      <c r="Q21" s="58" t="s">
        <v>647</v>
      </c>
      <c r="R21" s="58" t="s">
        <v>648</v>
      </c>
      <c r="S21" s="58">
        <v>0.13</v>
      </c>
    </row>
  </sheetData>
  <mergeCells count="36">
    <mergeCell ref="A1:N1"/>
    <mergeCell ref="A3:B3"/>
    <mergeCell ref="C3:F3"/>
    <mergeCell ref="E4:G4"/>
    <mergeCell ref="I4:J4"/>
    <mergeCell ref="L4:N4"/>
    <mergeCell ref="B5:G5"/>
    <mergeCell ref="I5:J5"/>
    <mergeCell ref="L5:N5"/>
    <mergeCell ref="C6:N6"/>
    <mergeCell ref="C7:N7"/>
    <mergeCell ref="D14:F14"/>
    <mergeCell ref="G14:H14"/>
    <mergeCell ref="I14:N14"/>
    <mergeCell ref="C8:N8"/>
    <mergeCell ref="C9:N9"/>
    <mergeCell ref="B10:C10"/>
    <mergeCell ref="L10:N10"/>
    <mergeCell ref="B11:C11"/>
    <mergeCell ref="M11:N11"/>
    <mergeCell ref="A17:N17"/>
    <mergeCell ref="A6:A9"/>
    <mergeCell ref="A14:A16"/>
    <mergeCell ref="B15:C15"/>
    <mergeCell ref="D15:F15"/>
    <mergeCell ref="G15:H15"/>
    <mergeCell ref="I15:N15"/>
    <mergeCell ref="B16:C16"/>
    <mergeCell ref="D16:F16"/>
    <mergeCell ref="G16:H16"/>
    <mergeCell ref="I16:N16"/>
    <mergeCell ref="B12:C12"/>
    <mergeCell ref="L12:N12"/>
    <mergeCell ref="B13:C13"/>
    <mergeCell ref="L13:N13"/>
    <mergeCell ref="B14:C14"/>
  </mergeCells>
  <dataValidations count="4">
    <dataValidation type="list" allowBlank="1" showInputMessage="1" showErrorMessage="1" sqref="B2" xr:uid="{00000000-0002-0000-0B00-000000000000}">
      <formula1>$V$1:$V$7</formula1>
    </dataValidation>
    <dataValidation type="list" allowBlank="1" showInputMessage="1" showErrorMessage="1" sqref="A11" xr:uid="{00000000-0002-0000-0B00-000001000000}">
      <formula1>$Q$2:$Q$21</formula1>
    </dataValidation>
    <dataValidation type="list" allowBlank="1" showInputMessage="1" showErrorMessage="1" sqref="B11:C11" xr:uid="{00000000-0002-0000-0B00-000002000000}">
      <formula1>$R$2:$R$21</formula1>
    </dataValidation>
    <dataValidation type="list" allowBlank="1" showInputMessage="1" showErrorMessage="1" sqref="A12" xr:uid="{00000000-0002-0000-0B00-000003000000}">
      <formula1>#REF!</formula1>
    </dataValidation>
  </dataValidations>
  <printOptions horizontalCentered="1" verticalCentered="1"/>
  <pageMargins left="0" right="0" top="0" bottom="0" header="0" footer="0"/>
  <pageSetup paperSize="9" scale="41" fitToHeight="0" orientation="landscape" r:id="rId1"/>
  <ignoredErrors>
    <ignoredError sqref="C7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theme="7" tint="0.39994506668294322"/>
  </sheetPr>
  <dimension ref="A2:O25"/>
  <sheetViews>
    <sheetView view="pageBreakPreview" zoomScale="90" zoomScaleNormal="100" workbookViewId="0">
      <selection activeCell="I17" sqref="I17:J18"/>
    </sheetView>
  </sheetViews>
  <sheetFormatPr defaultColWidth="8.796875" defaultRowHeight="15.6"/>
  <cols>
    <col min="1" max="1" width="4.3984375" customWidth="1"/>
    <col min="2" max="2" width="13" customWidth="1"/>
    <col min="3" max="3" width="16.5" customWidth="1"/>
    <col min="4" max="4" width="18.3984375" customWidth="1"/>
    <col min="5" max="5" width="12.19921875" customWidth="1"/>
    <col min="6" max="6" width="16.5" customWidth="1"/>
    <col min="7" max="7" width="16.19921875" customWidth="1"/>
    <col min="8" max="8" width="18.3984375" customWidth="1"/>
    <col min="9" max="9" width="12.19921875" customWidth="1"/>
    <col min="10" max="10" width="18.69921875" customWidth="1"/>
    <col min="12" max="12" width="12.796875" customWidth="1"/>
    <col min="13" max="13" width="12.19921875" customWidth="1"/>
    <col min="15" max="15" width="47.8984375" customWidth="1"/>
  </cols>
  <sheetData>
    <row r="2" spans="1:15" ht="22.2">
      <c r="A2" s="521" t="s">
        <v>656</v>
      </c>
      <c r="B2" s="521"/>
      <c r="C2" s="521"/>
      <c r="D2" s="521"/>
      <c r="E2" s="521"/>
      <c r="F2" s="521"/>
      <c r="G2" s="521"/>
      <c r="H2" s="521"/>
      <c r="I2" s="521"/>
      <c r="J2" s="521"/>
    </row>
    <row r="3" spans="1:15" ht="18" customHeight="1"/>
    <row r="4" spans="1:15" s="1" customFormat="1" ht="18" customHeight="1">
      <c r="A4"/>
      <c r="C4"/>
      <c r="D4"/>
      <c r="E4" s="3" t="s">
        <v>657</v>
      </c>
      <c r="F4" s="4">
        <f ca="1">TODAY()</f>
        <v>45862</v>
      </c>
      <c r="G4"/>
      <c r="H4"/>
      <c r="I4"/>
      <c r="J4" s="18"/>
    </row>
    <row r="5" spans="1:15" s="1" customFormat="1" ht="32.1" customHeight="1">
      <c r="A5" s="527" t="s">
        <v>658</v>
      </c>
      <c r="B5" s="528"/>
      <c r="C5" s="5" t="s">
        <v>659</v>
      </c>
      <c r="D5" s="522" t="str">
        <f>O6</f>
        <v>中海石油（中国）有限公司曹妃甸作业公司</v>
      </c>
      <c r="E5" s="523"/>
      <c r="F5" s="524"/>
      <c r="G5" s="6" t="s">
        <v>660</v>
      </c>
      <c r="H5" s="522" t="s">
        <v>661</v>
      </c>
      <c r="I5" s="523"/>
      <c r="J5" s="525"/>
      <c r="O5" s="1" t="s">
        <v>650</v>
      </c>
    </row>
    <row r="6" spans="1:15" s="1" customFormat="1" ht="32.1" customHeight="1">
      <c r="A6" s="498"/>
      <c r="B6" s="499"/>
      <c r="C6" s="7" t="s">
        <v>581</v>
      </c>
      <c r="D6" s="526"/>
      <c r="E6" s="514"/>
      <c r="F6" s="514"/>
      <c r="G6" s="8" t="s">
        <v>662</v>
      </c>
      <c r="H6" s="520"/>
      <c r="I6" s="519"/>
      <c r="J6" s="505"/>
      <c r="O6" s="1" t="s">
        <v>601</v>
      </c>
    </row>
    <row r="7" spans="1:15" s="1" customFormat="1" ht="32.1" customHeight="1">
      <c r="A7" s="498"/>
      <c r="B7" s="499"/>
      <c r="C7" s="7" t="s">
        <v>663</v>
      </c>
      <c r="D7" s="513" t="str">
        <f>'曹妃甸 秦皇岛  结算单 '!G6</f>
        <v>CCL2023TJC0YST0185</v>
      </c>
      <c r="E7" s="514"/>
      <c r="F7" s="515"/>
      <c r="G7" s="8" t="s">
        <v>584</v>
      </c>
      <c r="H7" s="516">
        <f>I13</f>
        <v>0</v>
      </c>
      <c r="I7" s="514"/>
      <c r="J7" s="517"/>
      <c r="O7" s="1" t="s">
        <v>664</v>
      </c>
    </row>
    <row r="8" spans="1:15" s="1" customFormat="1" ht="27" customHeight="1">
      <c r="A8" s="486" t="s">
        <v>665</v>
      </c>
      <c r="B8" s="487"/>
      <c r="C8" s="7" t="s">
        <v>666</v>
      </c>
      <c r="D8" s="518" t="s">
        <v>667</v>
      </c>
      <c r="E8" s="519"/>
      <c r="F8" s="496"/>
      <c r="G8" s="7" t="s">
        <v>668</v>
      </c>
      <c r="H8" s="520">
        <v>45261</v>
      </c>
      <c r="I8" s="519"/>
      <c r="J8" s="505"/>
      <c r="O8" s="1" t="s">
        <v>669</v>
      </c>
    </row>
    <row r="9" spans="1:15" s="1" customFormat="1" ht="25.5" customHeight="1">
      <c r="A9" s="488"/>
      <c r="B9" s="489"/>
      <c r="C9" s="511" t="s">
        <v>670</v>
      </c>
      <c r="D9" s="494" t="s">
        <v>671</v>
      </c>
      <c r="E9" s="490" t="s">
        <v>672</v>
      </c>
      <c r="F9" s="490"/>
      <c r="G9" s="490" t="s">
        <v>673</v>
      </c>
      <c r="H9" s="497" t="s">
        <v>671</v>
      </c>
      <c r="I9" s="490" t="s">
        <v>672</v>
      </c>
      <c r="J9" s="491"/>
      <c r="O9" s="20" t="s">
        <v>545</v>
      </c>
    </row>
    <row r="10" spans="1:15" s="1" customFormat="1" ht="25.5" customHeight="1">
      <c r="A10" s="488"/>
      <c r="B10" s="489"/>
      <c r="C10" s="512"/>
      <c r="D10" s="495"/>
      <c r="E10" s="490"/>
      <c r="F10" s="490"/>
      <c r="G10" s="490"/>
      <c r="H10" s="497"/>
      <c r="I10" s="490"/>
      <c r="J10" s="491"/>
      <c r="O10" s="21" t="s">
        <v>546</v>
      </c>
    </row>
    <row r="11" spans="1:15" s="1" customFormat="1" ht="36" customHeight="1">
      <c r="A11" s="488"/>
      <c r="B11" s="489"/>
      <c r="C11" s="512"/>
      <c r="D11" s="10" t="s">
        <v>674</v>
      </c>
      <c r="E11" s="503">
        <v>1</v>
      </c>
      <c r="F11" s="504"/>
      <c r="G11" s="496"/>
      <c r="H11" s="10" t="s">
        <v>674</v>
      </c>
      <c r="I11" s="503">
        <v>1</v>
      </c>
      <c r="J11" s="505"/>
    </row>
    <row r="12" spans="1:15" s="1" customFormat="1" ht="40.5" customHeight="1">
      <c r="A12" s="488"/>
      <c r="B12" s="489"/>
      <c r="C12" s="512"/>
      <c r="D12" s="10" t="s">
        <v>675</v>
      </c>
      <c r="E12" s="503">
        <v>1</v>
      </c>
      <c r="F12" s="504"/>
      <c r="G12" s="496"/>
      <c r="H12" s="10" t="s">
        <v>675</v>
      </c>
      <c r="I12" s="503">
        <v>1</v>
      </c>
      <c r="J12" s="505"/>
      <c r="L12" s="1" t="s">
        <v>676</v>
      </c>
      <c r="M12" s="1" t="s">
        <v>557</v>
      </c>
      <c r="N12" s="1" t="s">
        <v>677</v>
      </c>
    </row>
    <row r="13" spans="1:15" s="1" customFormat="1" ht="38.25" customHeight="1">
      <c r="A13" s="488"/>
      <c r="B13" s="489"/>
      <c r="C13" s="512"/>
      <c r="D13" s="11" t="s">
        <v>678</v>
      </c>
      <c r="E13" s="12">
        <f>L13</f>
        <v>0</v>
      </c>
      <c r="F13" s="7" t="s">
        <v>679</v>
      </c>
      <c r="G13" s="490"/>
      <c r="H13" s="13" t="s">
        <v>680</v>
      </c>
      <c r="I13" s="22">
        <f>L13</f>
        <v>0</v>
      </c>
      <c r="J13" s="19" t="s">
        <v>679</v>
      </c>
      <c r="K13" s="1" t="s">
        <v>676</v>
      </c>
      <c r="L13" s="23">
        <f>'曹妃甸 秦皇岛  结算单 '!E25</f>
        <v>0</v>
      </c>
      <c r="M13" s="24">
        <f>L13-N13</f>
        <v>0</v>
      </c>
      <c r="N13" s="24">
        <f>L13/1.09</f>
        <v>0</v>
      </c>
    </row>
    <row r="14" spans="1:15" s="1" customFormat="1" ht="38.25" customHeight="1">
      <c r="A14" s="488"/>
      <c r="B14" s="489"/>
      <c r="C14" s="512"/>
      <c r="D14" s="11" t="s">
        <v>681</v>
      </c>
      <c r="E14" s="12">
        <f>L13</f>
        <v>0</v>
      </c>
      <c r="F14" s="7" t="s">
        <v>679</v>
      </c>
      <c r="G14" s="490"/>
      <c r="H14" s="9" t="s">
        <v>682</v>
      </c>
      <c r="I14" s="12">
        <f>N13</f>
        <v>0</v>
      </c>
      <c r="J14" s="19" t="s">
        <v>679</v>
      </c>
    </row>
    <row r="15" spans="1:15" s="1" customFormat="1" ht="40.5" customHeight="1">
      <c r="A15" s="498" t="s">
        <v>683</v>
      </c>
      <c r="B15" s="499"/>
      <c r="C15" s="497" t="s">
        <v>684</v>
      </c>
      <c r="D15" s="497"/>
      <c r="E15" s="497"/>
      <c r="F15" s="497"/>
      <c r="G15" s="497"/>
      <c r="H15" s="497"/>
      <c r="I15" s="497"/>
      <c r="J15" s="506"/>
    </row>
    <row r="16" spans="1:15" s="1" customFormat="1" ht="44.25" customHeight="1">
      <c r="A16" s="507" t="s">
        <v>685</v>
      </c>
      <c r="B16" s="508"/>
      <c r="C16" s="509" t="s">
        <v>686</v>
      </c>
      <c r="D16" s="510"/>
      <c r="E16" s="14">
        <f>L13</f>
        <v>0</v>
      </c>
      <c r="F16" s="15" t="s">
        <v>687</v>
      </c>
      <c r="G16" s="14">
        <f>M13</f>
        <v>0</v>
      </c>
      <c r="H16" s="16" t="s">
        <v>688</v>
      </c>
      <c r="I16" s="14">
        <f>N13</f>
        <v>0</v>
      </c>
      <c r="J16" s="25" t="s">
        <v>679</v>
      </c>
    </row>
    <row r="17" spans="1:10" s="1" customFormat="1" ht="25.5" customHeight="1">
      <c r="A17" s="498" t="s">
        <v>689</v>
      </c>
      <c r="B17" s="499"/>
      <c r="C17" s="492" t="s">
        <v>690</v>
      </c>
      <c r="D17" s="478"/>
      <c r="E17" s="482"/>
      <c r="F17" s="483"/>
      <c r="G17" s="502" t="s">
        <v>691</v>
      </c>
      <c r="H17" s="483"/>
      <c r="I17" s="478"/>
      <c r="J17" s="479"/>
    </row>
    <row r="18" spans="1:10" s="1" customFormat="1" ht="25.5" customHeight="1">
      <c r="A18" s="500"/>
      <c r="B18" s="501"/>
      <c r="C18" s="493"/>
      <c r="D18" s="480"/>
      <c r="E18" s="484"/>
      <c r="F18" s="485"/>
      <c r="G18" s="480"/>
      <c r="H18" s="485"/>
      <c r="I18" s="480"/>
      <c r="J18" s="481"/>
    </row>
    <row r="20" spans="1:10" s="2" customFormat="1" ht="18" customHeight="1">
      <c r="A20" s="17" t="s">
        <v>692</v>
      </c>
      <c r="B20" s="2" t="s">
        <v>693</v>
      </c>
    </row>
    <row r="21" spans="1:10" s="2" customFormat="1" ht="18" customHeight="1">
      <c r="B21" s="2" t="s">
        <v>694</v>
      </c>
    </row>
    <row r="22" spans="1:10" s="2" customFormat="1" ht="18" customHeight="1">
      <c r="B22" s="2" t="s">
        <v>695</v>
      </c>
    </row>
    <row r="23" spans="1:10" s="2" customFormat="1" ht="18" customHeight="1">
      <c r="B23" s="2" t="s">
        <v>696</v>
      </c>
    </row>
    <row r="24" spans="1:10">
      <c r="B24" s="2" t="s">
        <v>697</v>
      </c>
    </row>
    <row r="25" spans="1:10">
      <c r="B25" s="2" t="s">
        <v>698</v>
      </c>
    </row>
  </sheetData>
  <mergeCells count="30">
    <mergeCell ref="A2:J2"/>
    <mergeCell ref="D5:F5"/>
    <mergeCell ref="H5:J5"/>
    <mergeCell ref="D6:F6"/>
    <mergeCell ref="H6:J6"/>
    <mergeCell ref="A5:B7"/>
    <mergeCell ref="C16:D16"/>
    <mergeCell ref="C9:C14"/>
    <mergeCell ref="D7:F7"/>
    <mergeCell ref="H7:J7"/>
    <mergeCell ref="D8:F8"/>
    <mergeCell ref="H8:J8"/>
    <mergeCell ref="E11:F11"/>
    <mergeCell ref="I11:J11"/>
    <mergeCell ref="I17:J18"/>
    <mergeCell ref="D17:F18"/>
    <mergeCell ref="A8:B14"/>
    <mergeCell ref="E9:F10"/>
    <mergeCell ref="I9:J10"/>
    <mergeCell ref="C17:C18"/>
    <mergeCell ref="D9:D10"/>
    <mergeCell ref="G9:G14"/>
    <mergeCell ref="H9:H10"/>
    <mergeCell ref="A17:B18"/>
    <mergeCell ref="G17:H18"/>
    <mergeCell ref="E12:F12"/>
    <mergeCell ref="I12:J12"/>
    <mergeCell ref="A15:B15"/>
    <mergeCell ref="C15:J15"/>
    <mergeCell ref="A16:B16"/>
  </mergeCells>
  <dataValidations count="1">
    <dataValidation type="list" allowBlank="1" showInputMessage="1" showErrorMessage="1" sqref="D5:F5" xr:uid="{00000000-0002-0000-0C00-000000000000}">
      <formula1>$O$5:$O$6</formula1>
    </dataValidation>
  </dataValidations>
  <printOptions horizontalCentered="1" verticalCentered="1"/>
  <pageMargins left="0" right="0" top="0" bottom="0" header="0.31496062992126" footer="0.31496062992126"/>
  <pageSetup paperSize="9" scale="84" orientation="landscape" r:id="rId1"/>
  <colBreaks count="1" manualBreakCount="1">
    <brk id="10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38</vt:i4>
      </vt:variant>
    </vt:vector>
  </HeadingPairs>
  <TitlesOfParts>
    <vt:vector size="51" baseType="lpstr">
      <vt:lpstr>price and cost sheet</vt:lpstr>
      <vt:lpstr>tx</vt:lpstr>
      <vt:lpstr>Signatures that need to be read</vt:lpstr>
      <vt:lpstr>电子版收费单 (2)</vt:lpstr>
      <vt:lpstr>电子版收费单 (3)</vt:lpstr>
      <vt:lpstr>电子版收费单 (4)</vt:lpstr>
      <vt:lpstr>电子版收费单 (5)</vt:lpstr>
      <vt:lpstr>电子版收费单 (6)</vt:lpstr>
      <vt:lpstr>电子版收费单</vt:lpstr>
      <vt:lpstr>曹妃甸 秦皇岛  结算单 </vt:lpstr>
      <vt:lpstr>曹妃甸开票申请</vt:lpstr>
      <vt:lpstr>秦皇岛开票申请</vt:lpstr>
      <vt:lpstr>秦皇岛  BZ  曹妃甸   年底预提</vt:lpstr>
      <vt:lpstr>'曹妃甸 秦皇岛  结算单 '!___DAN1</vt:lpstr>
      <vt:lpstr>'曹妃甸 秦皇岛  结算单 '!___DAN3</vt:lpstr>
      <vt:lpstr>'曹妃甸 秦皇岛  结算单 '!___DAN4</vt:lpstr>
      <vt:lpstr>'曹妃甸 秦皇岛  结算单 '!___DAN5</vt:lpstr>
      <vt:lpstr>'曹妃甸 秦皇岛  结算单 '!___DAN7</vt:lpstr>
      <vt:lpstr>'曹妃甸 秦皇岛  结算单 '!___NO1</vt:lpstr>
      <vt:lpstr>'曹妃甸 秦皇岛  结算单 '!___NO2</vt:lpstr>
      <vt:lpstr>'曹妃甸 秦皇岛  结算单 '!___NO3</vt:lpstr>
      <vt:lpstr>'曹妃甸 秦皇岛  结算单 '!___NO4</vt:lpstr>
      <vt:lpstr>'曹妃甸 秦皇岛  结算单 '!___NO5</vt:lpstr>
      <vt:lpstr>'曹妃甸 秦皇岛  结算单 '!___NO6</vt:lpstr>
      <vt:lpstr>_DAN1</vt:lpstr>
      <vt:lpstr>_DAN3</vt:lpstr>
      <vt:lpstr>_DAN4</vt:lpstr>
      <vt:lpstr>_DAN5</vt:lpstr>
      <vt:lpstr>_DAN7</vt:lpstr>
      <vt:lpstr>_NO1</vt:lpstr>
      <vt:lpstr>_NO2</vt:lpstr>
      <vt:lpstr>_NO3</vt:lpstr>
      <vt:lpstr>_NO4</vt:lpstr>
      <vt:lpstr>_NO5</vt:lpstr>
      <vt:lpstr>_NO6</vt:lpstr>
      <vt:lpstr>'曹妃甸 秦皇岛  结算单 '!aa</vt:lpstr>
      <vt:lpstr>aa</vt:lpstr>
      <vt:lpstr>'曹妃甸 秦皇岛  结算单 '!NO</vt:lpstr>
      <vt:lpstr>NO</vt:lpstr>
      <vt:lpstr>'price and cost sheet'!Print_Area</vt:lpstr>
      <vt:lpstr>'Signatures that need to be read'!Print_Area</vt:lpstr>
      <vt:lpstr>'曹妃甸 秦皇岛  结算单 '!Print_Area</vt:lpstr>
      <vt:lpstr>曹妃甸开票申请!Print_Area</vt:lpstr>
      <vt:lpstr>电子版收费单!Print_Area</vt:lpstr>
      <vt:lpstr>'电子版收费单 (2)'!Print_Area</vt:lpstr>
      <vt:lpstr>'电子版收费单 (3)'!Print_Area</vt:lpstr>
      <vt:lpstr>'电子版收费单 (4)'!Print_Area</vt:lpstr>
      <vt:lpstr>'电子版收费单 (5)'!Print_Area</vt:lpstr>
      <vt:lpstr>'电子版收费单 (6)'!Print_Area</vt:lpstr>
      <vt:lpstr>'秦皇岛  BZ  曹妃甸   年底预提'!Print_Area</vt:lpstr>
      <vt:lpstr>秦皇岛开票申请!Print_Area</vt:lpstr>
    </vt:vector>
  </TitlesOfParts>
  <Company>WwW.YlmF.CoM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YlmF</dc:creator>
  <cp:lastModifiedBy>ABDULRAHMAN MKAHT ALQHTANI</cp:lastModifiedBy>
  <cp:revision>1</cp:revision>
  <cp:lastPrinted>2021-12-30T01:26:00Z</cp:lastPrinted>
  <dcterms:created xsi:type="dcterms:W3CDTF">2009-11-14T10:42:00Z</dcterms:created>
  <dcterms:modified xsi:type="dcterms:W3CDTF">2025-07-24T07:06:42Z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2052-11.8.2.12085</vt:lpwstr>
  </property>
  <property fmtid="{D5CDD505-2E9C-101B-9397-08002B2CF9AE}" pid="3" name="ICV">
    <vt:lpwstr>5715B8354DCC43A69CD10657DD7FCD61</vt:lpwstr>
  </property>
</Properties>
</file>